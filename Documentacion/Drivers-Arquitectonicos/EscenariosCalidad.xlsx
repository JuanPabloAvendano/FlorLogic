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Estudio\Software_2\FlorLogic\Documentacion\"/>
    </mc:Choice>
  </mc:AlternateContent>
  <xr:revisionPtr revIDLastSave="0" documentId="8_{8BB49EDA-BF05-4A49-97F8-A1A78E455819}" xr6:coauthVersionLast="47" xr6:coauthVersionMax="47" xr10:uidLastSave="{00000000-0000-0000-0000-000000000000}"/>
  <bookViews>
    <workbookView xWindow="-98" yWindow="-98" windowWidth="21795" windowHeight="11625" activeTab="3" xr2:uid="{00000000-000D-0000-FFFF-FFFF00000000}"/>
  </bookViews>
  <sheets>
    <sheet name="1. Trade-Off-QA" sheetId="1" r:id="rId1"/>
    <sheet name="2. Priorización-QA" sheetId="2" r:id="rId2"/>
    <sheet name="3. Caracterización" sheetId="3" r:id="rId3"/>
    <sheet name="4, Lluvia-de-Escenarios" sheetId="4" r:id="rId4"/>
    <sheet name="Top 65 - Priorizada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6" i="5" l="1"/>
  <c r="E66" i="5"/>
  <c r="D66" i="5"/>
  <c r="G66" i="5" s="1"/>
  <c r="C66" i="5"/>
  <c r="B66" i="5"/>
  <c r="F65" i="5"/>
  <c r="E65" i="5"/>
  <c r="D65" i="5"/>
  <c r="G65" i="5" s="1"/>
  <c r="C65" i="5"/>
  <c r="B65" i="5"/>
  <c r="F64" i="5"/>
  <c r="E64" i="5"/>
  <c r="D64" i="5"/>
  <c r="G64" i="5" s="1"/>
  <c r="C64" i="5"/>
  <c r="B64" i="5"/>
  <c r="F63" i="5"/>
  <c r="E63" i="5"/>
  <c r="D63" i="5"/>
  <c r="G63" i="5" s="1"/>
  <c r="C63" i="5"/>
  <c r="B63" i="5"/>
  <c r="F62" i="5"/>
  <c r="E62" i="5"/>
  <c r="D62" i="5"/>
  <c r="G62" i="5" s="1"/>
  <c r="C62" i="5"/>
  <c r="B62" i="5"/>
  <c r="F61" i="5"/>
  <c r="E61" i="5"/>
  <c r="D61" i="5"/>
  <c r="G61" i="5" s="1"/>
  <c r="C61" i="5"/>
  <c r="B61" i="5"/>
  <c r="F60" i="5"/>
  <c r="E60" i="5"/>
  <c r="D60" i="5"/>
  <c r="G60" i="5" s="1"/>
  <c r="C60" i="5"/>
  <c r="B60" i="5"/>
  <c r="F59" i="5"/>
  <c r="E59" i="5"/>
  <c r="D59" i="5"/>
  <c r="G59" i="5" s="1"/>
  <c r="C59" i="5"/>
  <c r="B59" i="5"/>
  <c r="F58" i="5"/>
  <c r="E58" i="5"/>
  <c r="D58" i="5"/>
  <c r="G58" i="5" s="1"/>
  <c r="C58" i="5"/>
  <c r="B58" i="5"/>
  <c r="G57" i="5"/>
  <c r="F57" i="5"/>
  <c r="E57" i="5"/>
  <c r="D57" i="5"/>
  <c r="C57" i="5"/>
  <c r="B57" i="5"/>
  <c r="F56" i="5"/>
  <c r="E56" i="5"/>
  <c r="D56" i="5"/>
  <c r="G56" i="5" s="1"/>
  <c r="C56" i="5"/>
  <c r="B56" i="5"/>
  <c r="F55" i="5"/>
  <c r="E55" i="5"/>
  <c r="D55" i="5"/>
  <c r="G55" i="5" s="1"/>
  <c r="C55" i="5"/>
  <c r="B55" i="5"/>
  <c r="F54" i="5"/>
  <c r="E54" i="5"/>
  <c r="D54" i="5"/>
  <c r="G54" i="5" s="1"/>
  <c r="C54" i="5"/>
  <c r="B54" i="5"/>
  <c r="F53" i="5"/>
  <c r="E53" i="5"/>
  <c r="D53" i="5"/>
  <c r="G53" i="5" s="1"/>
  <c r="C53" i="5"/>
  <c r="B53" i="5"/>
  <c r="F52" i="5"/>
  <c r="G52" i="5" s="1"/>
  <c r="E52" i="5"/>
  <c r="D52" i="5"/>
  <c r="C52" i="5"/>
  <c r="B52" i="5"/>
  <c r="F51" i="5"/>
  <c r="E51" i="5"/>
  <c r="D51" i="5"/>
  <c r="G51" i="5" s="1"/>
  <c r="C51" i="5"/>
  <c r="B51" i="5"/>
  <c r="F50" i="5"/>
  <c r="E50" i="5"/>
  <c r="D50" i="5"/>
  <c r="G50" i="5" s="1"/>
  <c r="C50" i="5"/>
  <c r="B50" i="5"/>
  <c r="G49" i="5"/>
  <c r="F49" i="5"/>
  <c r="E49" i="5"/>
  <c r="D49" i="5"/>
  <c r="C49" i="5"/>
  <c r="B49" i="5"/>
  <c r="F48" i="5"/>
  <c r="E48" i="5"/>
  <c r="D48" i="5"/>
  <c r="G48" i="5" s="1"/>
  <c r="C48" i="5"/>
  <c r="B48" i="5"/>
  <c r="F47" i="5"/>
  <c r="E47" i="5"/>
  <c r="D47" i="5"/>
  <c r="G47" i="5" s="1"/>
  <c r="C47" i="5"/>
  <c r="B47" i="5"/>
  <c r="F46" i="5"/>
  <c r="E46" i="5"/>
  <c r="D46" i="5"/>
  <c r="G46" i="5" s="1"/>
  <c r="C46" i="5"/>
  <c r="B46" i="5"/>
  <c r="F45" i="5"/>
  <c r="E45" i="5"/>
  <c r="D45" i="5"/>
  <c r="G45" i="5" s="1"/>
  <c r="C45" i="5"/>
  <c r="B45" i="5"/>
  <c r="F44" i="5"/>
  <c r="G44" i="5" s="1"/>
  <c r="E44" i="5"/>
  <c r="D44" i="5"/>
  <c r="C44" i="5"/>
  <c r="B44" i="5"/>
  <c r="F43" i="5"/>
  <c r="E43" i="5"/>
  <c r="D43" i="5"/>
  <c r="G43" i="5" s="1"/>
  <c r="C43" i="5"/>
  <c r="B43" i="5"/>
  <c r="F42" i="5"/>
  <c r="E42" i="5"/>
  <c r="D42" i="5"/>
  <c r="G42" i="5" s="1"/>
  <c r="C42" i="5"/>
  <c r="B42" i="5"/>
  <c r="G41" i="5"/>
  <c r="F41" i="5"/>
  <c r="E41" i="5"/>
  <c r="D41" i="5"/>
  <c r="C41" i="5"/>
  <c r="B41" i="5"/>
  <c r="F40" i="5"/>
  <c r="E40" i="5"/>
  <c r="D40" i="5"/>
  <c r="G40" i="5" s="1"/>
  <c r="C40" i="5"/>
  <c r="B40" i="5"/>
  <c r="F39" i="5"/>
  <c r="E39" i="5"/>
  <c r="D39" i="5"/>
  <c r="G39" i="5" s="1"/>
  <c r="C39" i="5"/>
  <c r="B39" i="5"/>
  <c r="F38" i="5"/>
  <c r="E38" i="5"/>
  <c r="D38" i="5"/>
  <c r="G38" i="5" s="1"/>
  <c r="C38" i="5"/>
  <c r="B38" i="5"/>
  <c r="F37" i="5"/>
  <c r="E37" i="5"/>
  <c r="D37" i="5"/>
  <c r="G37" i="5" s="1"/>
  <c r="C37" i="5"/>
  <c r="B37" i="5"/>
  <c r="F36" i="5"/>
  <c r="G36" i="5" s="1"/>
  <c r="E36" i="5"/>
  <c r="D36" i="5"/>
  <c r="C36" i="5"/>
  <c r="B36" i="5"/>
  <c r="F35" i="5"/>
  <c r="E35" i="5"/>
  <c r="D35" i="5"/>
  <c r="G35" i="5" s="1"/>
  <c r="C35" i="5"/>
  <c r="B35" i="5"/>
  <c r="F34" i="5"/>
  <c r="E34" i="5"/>
  <c r="D34" i="5"/>
  <c r="G34" i="5" s="1"/>
  <c r="C34" i="5"/>
  <c r="B34" i="5"/>
  <c r="G33" i="5"/>
  <c r="F33" i="5"/>
  <c r="E33" i="5"/>
  <c r="D33" i="5"/>
  <c r="C33" i="5"/>
  <c r="B33" i="5"/>
  <c r="F32" i="5"/>
  <c r="E32" i="5"/>
  <c r="D32" i="5"/>
  <c r="G32" i="5" s="1"/>
  <c r="C32" i="5"/>
  <c r="B32" i="5"/>
  <c r="F31" i="5"/>
  <c r="E31" i="5"/>
  <c r="D31" i="5"/>
  <c r="G31" i="5" s="1"/>
  <c r="C31" i="5"/>
  <c r="B31" i="5"/>
  <c r="F30" i="5"/>
  <c r="E30" i="5"/>
  <c r="D30" i="5"/>
  <c r="G30" i="5" s="1"/>
  <c r="C30" i="5"/>
  <c r="B30" i="5"/>
  <c r="F29" i="5"/>
  <c r="E29" i="5"/>
  <c r="D29" i="5"/>
  <c r="G29" i="5" s="1"/>
  <c r="C29" i="5"/>
  <c r="B29" i="5"/>
  <c r="F28" i="5"/>
  <c r="G28" i="5" s="1"/>
  <c r="E28" i="5"/>
  <c r="D28" i="5"/>
  <c r="C28" i="5"/>
  <c r="B28" i="5"/>
  <c r="F27" i="5"/>
  <c r="E27" i="5"/>
  <c r="D27" i="5"/>
  <c r="G27" i="5" s="1"/>
  <c r="C27" i="5"/>
  <c r="B27" i="5"/>
  <c r="F26" i="5"/>
  <c r="E26" i="5"/>
  <c r="D26" i="5"/>
  <c r="G26" i="5" s="1"/>
  <c r="C26" i="5"/>
  <c r="B26" i="5"/>
  <c r="G25" i="5"/>
  <c r="F25" i="5"/>
  <c r="E25" i="5"/>
  <c r="D25" i="5"/>
  <c r="C25" i="5"/>
  <c r="B25" i="5"/>
  <c r="F24" i="5"/>
  <c r="E24" i="5"/>
  <c r="D24" i="5"/>
  <c r="G24" i="5" s="1"/>
  <c r="C24" i="5"/>
  <c r="B24" i="5"/>
  <c r="F23" i="5"/>
  <c r="E23" i="5"/>
  <c r="D23" i="5"/>
  <c r="G23" i="5" s="1"/>
  <c r="C23" i="5"/>
  <c r="B23" i="5"/>
  <c r="F22" i="5"/>
  <c r="E22" i="5"/>
  <c r="D22" i="5"/>
  <c r="G22" i="5" s="1"/>
  <c r="C22" i="5"/>
  <c r="B22" i="5"/>
  <c r="F21" i="5"/>
  <c r="E21" i="5"/>
  <c r="D21" i="5"/>
  <c r="G21" i="5" s="1"/>
  <c r="C21" i="5"/>
  <c r="B21" i="5"/>
  <c r="F20" i="5"/>
  <c r="G20" i="5" s="1"/>
  <c r="E20" i="5"/>
  <c r="D20" i="5"/>
  <c r="C20" i="5"/>
  <c r="B20" i="5"/>
  <c r="F19" i="5"/>
  <c r="E19" i="5"/>
  <c r="D19" i="5"/>
  <c r="G19" i="5" s="1"/>
  <c r="C19" i="5"/>
  <c r="B19" i="5"/>
  <c r="F18" i="5"/>
  <c r="E18" i="5"/>
  <c r="D18" i="5"/>
  <c r="G18" i="5" s="1"/>
  <c r="C18" i="5"/>
  <c r="B18" i="5"/>
  <c r="G17" i="5"/>
  <c r="F17" i="5"/>
  <c r="E17" i="5"/>
  <c r="D17" i="5"/>
  <c r="C17" i="5"/>
  <c r="B17" i="5"/>
  <c r="F16" i="5"/>
  <c r="E16" i="5"/>
  <c r="D16" i="5"/>
  <c r="G16" i="5" s="1"/>
  <c r="C16" i="5"/>
  <c r="B16" i="5"/>
  <c r="F15" i="5"/>
  <c r="E15" i="5"/>
  <c r="D15" i="5"/>
  <c r="G15" i="5" s="1"/>
  <c r="C15" i="5"/>
  <c r="B15" i="5"/>
  <c r="F14" i="5"/>
  <c r="E14" i="5"/>
  <c r="D14" i="5"/>
  <c r="G14" i="5" s="1"/>
  <c r="C14" i="5"/>
  <c r="B14" i="5"/>
  <c r="F13" i="5"/>
  <c r="E13" i="5"/>
  <c r="D13" i="5"/>
  <c r="G13" i="5" s="1"/>
  <c r="C13" i="5"/>
  <c r="B13" i="5"/>
  <c r="F12" i="5"/>
  <c r="G12" i="5" s="1"/>
  <c r="E12" i="5"/>
  <c r="D12" i="5"/>
  <c r="C12" i="5"/>
  <c r="B12" i="5"/>
  <c r="F11" i="5"/>
  <c r="E11" i="5"/>
  <c r="D11" i="5"/>
  <c r="G11" i="5" s="1"/>
  <c r="C11" i="5"/>
  <c r="B11" i="5"/>
  <c r="F10" i="5"/>
  <c r="E10" i="5"/>
  <c r="D10" i="5"/>
  <c r="G10" i="5" s="1"/>
  <c r="C10" i="5"/>
  <c r="B10" i="5"/>
  <c r="G9" i="5"/>
  <c r="F9" i="5"/>
  <c r="E9" i="5"/>
  <c r="D9" i="5"/>
  <c r="C9" i="5"/>
  <c r="B9" i="5"/>
  <c r="F8" i="5"/>
  <c r="E8" i="5"/>
  <c r="D8" i="5"/>
  <c r="G8" i="5" s="1"/>
  <c r="C8" i="5"/>
  <c r="B8" i="5"/>
  <c r="F7" i="5"/>
  <c r="E7" i="5"/>
  <c r="D7" i="5"/>
  <c r="G7" i="5" s="1"/>
  <c r="C7" i="5"/>
  <c r="B7" i="5"/>
  <c r="F6" i="5"/>
  <c r="E6" i="5"/>
  <c r="D6" i="5"/>
  <c r="G6" i="5" s="1"/>
  <c r="C6" i="5"/>
  <c r="B6" i="5"/>
  <c r="F5" i="5"/>
  <c r="E5" i="5"/>
  <c r="D5" i="5"/>
  <c r="G5" i="5" s="1"/>
  <c r="C5" i="5"/>
  <c r="B5" i="5"/>
  <c r="F4" i="5"/>
  <c r="G4" i="5" s="1"/>
  <c r="E4" i="5"/>
  <c r="D4" i="5"/>
  <c r="C4" i="5"/>
  <c r="B4" i="5"/>
  <c r="F3" i="5"/>
  <c r="E3" i="5"/>
  <c r="D3" i="5"/>
  <c r="G3" i="5" s="1"/>
  <c r="C3" i="5"/>
  <c r="B3" i="5"/>
  <c r="F2" i="5"/>
  <c r="E2" i="5"/>
  <c r="D2" i="5"/>
  <c r="G2" i="5" s="1"/>
  <c r="C2" i="5"/>
  <c r="B2" i="5"/>
  <c r="D16" i="2"/>
  <c r="C16" i="2"/>
  <c r="B16" i="2"/>
  <c r="E15" i="2"/>
  <c r="F15" i="2" s="1"/>
  <c r="E14" i="2"/>
  <c r="E13" i="2"/>
  <c r="E12" i="2"/>
  <c r="E11" i="2"/>
  <c r="E10" i="2"/>
  <c r="E9" i="2"/>
  <c r="E8" i="2"/>
  <c r="E7" i="2"/>
  <c r="E6" i="2"/>
  <c r="E5" i="2"/>
  <c r="F5" i="2" s="1"/>
  <c r="E4" i="2"/>
  <c r="E3" i="2"/>
  <c r="E16" i="2" s="1"/>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J2" i="3"/>
  <c r="F11" i="2" l="1"/>
  <c r="F10" i="2"/>
  <c r="F9" i="2"/>
  <c r="F8" i="2"/>
  <c r="F3" i="2"/>
  <c r="F4" i="2"/>
  <c r="F6" i="2"/>
  <c r="F7" i="2"/>
  <c r="F12" i="2"/>
  <c r="F13" i="2"/>
  <c r="F14" i="2"/>
  <c r="F16" i="2" l="1"/>
</calcChain>
</file>

<file path=xl/sharedStrings.xml><?xml version="1.0" encoding="utf-8"?>
<sst xmlns="http://schemas.openxmlformats.org/spreadsheetml/2006/main" count="2231" uniqueCount="945">
  <si>
    <t>Atributo de calidad</t>
  </si>
  <si>
    <t>Pregunta</t>
  </si>
  <si>
    <t>Respuesta Juan</t>
  </si>
  <si>
    <t>Respuesta Jeronimo</t>
  </si>
  <si>
    <t>Respuesta Cliente</t>
  </si>
  <si>
    <t>Nota</t>
  </si>
  <si>
    <t>Tomador de datos</t>
  </si>
  <si>
    <t>Produccion</t>
  </si>
  <si>
    <t>Administrador</t>
  </si>
  <si>
    <t>Puntaje Total</t>
  </si>
  <si>
    <t>Seleccionada (Top 65)</t>
  </si>
  <si>
    <t>Confiabilidad</t>
  </si>
  <si>
    <t>¿Se necesita verificar que la información sea correcta de manera individual con cada dato tomado?</t>
  </si>
  <si>
    <t>NO</t>
  </si>
  <si>
    <t>SI</t>
  </si>
  <si>
    <t>¿Se necesita verificar que la información sea correcta de manera que se agrupe la información por variedad?</t>
  </si>
  <si>
    <t>¿Se necesita verificar que la información sea correcta de manera que se agrupe la información por sección de la cama?</t>
  </si>
  <si>
    <t>¿Se necesita verificar que la información sea correcta de manera que se agrupe la información por cama?</t>
  </si>
  <si>
    <t>¿Se necesita verificar que la información sea correcta de manera que se agrupe la información por bloque?</t>
  </si>
  <si>
    <t>NO TAN IMPORTANTE</t>
  </si>
  <si>
    <t>¿Se necesita verificar que la información sea correcta de manera que se agrupe la información por finca y por jornada completa?</t>
  </si>
  <si>
    <t>¿Se necesita una confirmación final que muestre todo lo capturado antes de darlo por guardado?</t>
  </si>
  <si>
    <t>¿Se necesita que el sistema impida cerrar la captura de una cama si quedaron campos sin diligenciar?</t>
  </si>
  <si>
    <t>HAY CAMPOS QUE NO SON CONCORDANTES CON OTROS</t>
  </si>
  <si>
    <t>¿Se necesita que el sistema permita guardar una captura incompleta y marcarla como pendiente?</t>
  </si>
  <si>
    <t>¿Se necesita que el sistema rechace un dato cuando está fuera del rango posible (por ejemplo, más tallos que plantas sembradas)?</t>
  </si>
  <si>
    <t>¿Se necesita que el sistema advierta, sin bloquear, cuando un dato se aleja mucho de lo que se ha capturado históricamente en esa misma cama?</t>
  </si>
  <si>
    <t>¿Se necesita que el sistema muestre siempre el motivo por el cual rechazó un dato?</t>
  </si>
  <si>
    <t>¿Se necesita que los rangos y las reglas de validación se puedan cambiar sin depender de una nueva versión de la aplicación?</t>
  </si>
  <si>
    <t>¿Se necesita que las reglas de validación funcionen igual estando sin conexión que estando conectado?</t>
  </si>
  <si>
    <t>¿Se necesita que el sistema avise cuando se intenta capturar dos veces la misma cama el mismo día?</t>
  </si>
  <si>
    <t>¿Se necesita que el sistema avise cuando una cama lleva más días de lo normal sin ser capturada?</t>
  </si>
  <si>
    <t>¿Se necesita que el sistema impida registrar una labor sobre una cama que ya fue erradicada?</t>
  </si>
  <si>
    <t>DEPENDE DEL TIPO DE INGRESO DE DATO</t>
  </si>
  <si>
    <t>¿Se necesita que el sistema bloquee la captura cuando detecta que la fecha y la hora del dispositivo fueron alteradas?</t>
  </si>
  <si>
    <t>¿Se necesita realizar la captura de datos de manera progresiva y guiada pantalla por pantalla (primero se selecciona bloque, luego cama, luego se captura lote y fecha de siembra, después las variedades plantadas)?</t>
  </si>
  <si>
    <t>¿Se necesita realizar la captura de datos con una plantilla predefinida que use una estructura similar a las plantillas de papel utilizadas previamente?</t>
  </si>
  <si>
    <t>¿Se necesita que la estructura de captura sea siempre la misma para todos los bloques de la finca?</t>
  </si>
  <si>
    <t>¿Se necesita que la estructura de captura pueda cambiar según la variedad que se esté trabajando?</t>
  </si>
  <si>
    <t>PUEDEN HABER DATOS EN BLANCO</t>
  </si>
  <si>
    <t>¿Se necesita que el sistema proponga automáticamente el valor capturado la última vez para esa misma cama?</t>
  </si>
  <si>
    <t>¿Se necesita que el orden de captura siga el recorrido físico que se hace dentro del bloque?</t>
  </si>
  <si>
    <t>¿Se necesita que el sistema indique en todo momento cuántas camas faltan por capturar en la jornada?</t>
  </si>
  <si>
    <t>¿Se necesita poder corregir un dato ya capturado antes de que se sincronice?</t>
  </si>
  <si>
    <t>¿Se necesita poder corregir un dato después de que se sincronizó?</t>
  </si>
  <si>
    <t>¿Se necesita que al corregir un dato se conserve visible el valor original?</t>
  </si>
  <si>
    <t>¿Se necesita que toda corrección exija escribir un motivo?</t>
  </si>
  <si>
    <t>¿Se necesita que exista una fecha a partir de la cual la información ya no se pueda corregir?</t>
  </si>
  <si>
    <t>¿Se necesita que, cuando dos capturas de la misma cama entran en conflicto, el sistema resuelva solo tomando la más reciente?</t>
  </si>
  <si>
    <t>¿Se necesita que, cuando dos capturas de la misma cama entran en conflicto, el sistema deje ambas y pida que una persona decida?</t>
  </si>
  <si>
    <t>NO DEJA INGRESAR EL ULTIMO REGISTRO</t>
  </si>
  <si>
    <t>¿Se necesita que quien capturó el dato se entere cuando su captura fue descartada o modificada por un conflicto?</t>
  </si>
  <si>
    <t>¿Se necesita saber, sobre cada proyección, con qué datos y con qué parámetros fue calculada?</t>
  </si>
  <si>
    <t>¿Se necesita que una misma proyección, recalculada meses después, dé exactamente el mismo resultado?</t>
  </si>
  <si>
    <t>SI NO SE MODIFICA SI</t>
  </si>
  <si>
    <t>¿Se necesita que el sistema muestre cuánto se desvió la proyección anterior frente a lo que realmente se cortó?</t>
  </si>
  <si>
    <t>SOBRE LA MISMA PROYECCION</t>
  </si>
  <si>
    <t>¿Se necesita que el sistema muestre un indicador del porcentaje de datos con error o pendientes de verificación?</t>
  </si>
  <si>
    <t>¿Se necesita fijar una meta explícita de porcentaje máximo de error aceptable en la información capturada?</t>
  </si>
  <si>
    <t>NO PUEDE HABER ERRORES</t>
  </si>
  <si>
    <t>¿Se necesita que el sistema distinga la información verificada de la que todavía no lo ha sido?</t>
  </si>
  <si>
    <t>¿Se necesita que la información no verificada quede excluida de las proyecciones hasta que se verifique?</t>
  </si>
  <si>
    <t>¿Se necesita seguir llenando el formato en papel en paralelo durante los primeros meses de uso?</t>
  </si>
  <si>
    <t>¿Se necesita que el sistema permita comparar lo capturado en la aplicación contra el formato en papel del mismo día?</t>
  </si>
  <si>
    <t>¿Se necesita que no se pierda ningún dato capturado bajo ninguna circunstancia?</t>
  </si>
  <si>
    <t>¿Se necesita que la información se conserve cuando el dispositivo se apaga por batería agotada a mitad de una captura?</t>
  </si>
  <si>
    <t>¿Se necesita que la información se conserve cuando la aplicación se cierra de manera inesperada?</t>
  </si>
  <si>
    <t>¿Se necesita que la información se conserve cuando el dispositivo se moja o se dañe y hay que cambiarlo?</t>
  </si>
  <si>
    <t>¿Se necesita que una sincronización interrumpida a la mitad pueda retomarse sin duplicar ni perder información?</t>
  </si>
  <si>
    <t>¿Se necesita que el sistema haga copias de respaldo de manera automática, sin que nadie lo solicite?</t>
  </si>
  <si>
    <t>¿Se necesita que las copias de respaldo se hagan al menos una vez al día?</t>
  </si>
  <si>
    <t>¿Se necesita poder devolver la información a como estaba en una fecha anterior?</t>
  </si>
  <si>
    <t>¿Se necesita poder devolver la información de una sola finca sin tocar la de las demás?</t>
  </si>
  <si>
    <t>¿Se necesita que la información nunca se elimine, ni siquiera cuando se erradica una cama?</t>
  </si>
  <si>
    <t>¿Se necesita conservar tanto la información tal como se capturó como la información ya corregida?</t>
  </si>
  <si>
    <t>SOLO LA CORREGIDA</t>
  </si>
  <si>
    <t>¿Se necesita que el sistema avise cuando una proyección se calculó con información incompleta?</t>
  </si>
  <si>
    <t>¿Se necesita que el sistema impida publicar una proyección cuando faltan datos de bloques enteros?</t>
  </si>
  <si>
    <t>TODO DEBE ESTAR INGRESADO</t>
  </si>
  <si>
    <t>¿Se necesita que exista una prueba periódica de que las copias de respaldo efectivamente sirven?</t>
  </si>
  <si>
    <t>¿Se necesita que la aplicación avise cuando el almacenamiento del dispositivo está por llenarse?</t>
  </si>
  <si>
    <t>Disponibilidad</t>
  </si>
  <si>
    <t>¿Se necesita capturar información en el área de cultivo sin ninguna conexión de datos?</t>
  </si>
  <si>
    <t>¿Se necesita capturar durante una jornada completa sin sincronizar en ningún momento?</t>
  </si>
  <si>
    <t>¿Se necesita capturar durante tres días seguidos sin sincronizar?</t>
  </si>
  <si>
    <t>¿Se necesita capturar durante una semana seguida sin sincronizar?</t>
  </si>
  <si>
    <t>¿Se necesita capturar durante más de quince días sin sincronizar?</t>
  </si>
  <si>
    <t>¿Se necesita poder consultar la información ya sincronizada aunque en ese momento no haya conexión?</t>
  </si>
  <si>
    <t>¿Se necesita poder consultar la información desde la web aunque la aplicación de captura esté fuera de servicio?</t>
  </si>
  <si>
    <t>¿Se necesita que la captura siga funcionando aunque el servicio en la nube esté caído?</t>
  </si>
  <si>
    <t>¿Se necesita que exista un horario del día en el que el sistema no pueda estar fuera de servicio bajo ninguna circunstancia?</t>
  </si>
  <si>
    <t>¿Se necesita que el sistema esté disponible los siete días de la semana?</t>
  </si>
  <si>
    <t>¿Se necesita que el sistema esté disponible las veinticuatro horas del día?</t>
  </si>
  <si>
    <t>¿Se necesita que exista un periodo del año (temporada alta) con una exigencia de disponibilidad mayor que el resto?</t>
  </si>
  <si>
    <t>¿Se necesita que una interrupción del servicio se resuelva en menos de una hora?</t>
  </si>
  <si>
    <t>¿Se necesita que una interrupción del servicio se resuelva dentro del mismo día?</t>
  </si>
  <si>
    <t>¿Se necesita que las labores de mantenimiento se avisen con anticipación?</t>
  </si>
  <si>
    <t>¿Se necesita que las labores de mantenimiento se hagan sin sacar el sistema de servicio?</t>
  </si>
  <si>
    <t>¿Se necesita poder continuar la captura en otro dispositivo cuando el que se estaba usando deja de funcionar?</t>
  </si>
  <si>
    <t>¿Se necesita que la información capturada en un dispositivo que se dañó o se perdió pueda recuperarse?</t>
  </si>
  <si>
    <t>¿Se necesita que una falla que afecte a una finca no afecte a las demás fincas o empresas?</t>
  </si>
  <si>
    <t>¿Se necesita que el sistema avise cuando un dispositivo lleva demasiado tiempo sin sincronizar?</t>
  </si>
  <si>
    <t>Rendimiento</t>
  </si>
  <si>
    <t>¿Se necesita que registrar una cama completa tome menos tiempo del que hoy toma llenarla en papel?</t>
  </si>
  <si>
    <t>¿Se necesita que registrar una cama completa tome menos de un minuto?</t>
  </si>
  <si>
    <t>*</t>
  </si>
  <si>
    <t>¿Se necesita que registrar una cama completa tome menos de treinta segundos?</t>
  </si>
  <si>
    <t>¿Se necesita poder capturar un bloque completo dentro de una sola jornada?</t>
  </si>
  <si>
    <t>*SOBRA</t>
  </si>
  <si>
    <t>¿Se necesita poder capturar la finca completa dentro de una sola jornada?</t>
  </si>
  <si>
    <t>¿Se necesita que cada dato quede guardado de inmediato, sin espera perceptible?</t>
  </si>
  <si>
    <t>¿Se necesita que el paso de una pantalla a la siguiente sea inmediato aun sin conexión?</t>
  </si>
  <si>
    <t>¿Se necesita que buscar una cama por su código dé resultado de inmediato?</t>
  </si>
  <si>
    <t>LIGERO, NO DE INMEDIATO</t>
  </si>
  <si>
    <t>¿Se necesita que la sincronización de una jornada completa termine en menos de cinco minutos?</t>
  </si>
  <si>
    <t>¿Se necesita que la sincronización ocurra en segundo plano, sin impedir seguir capturando?</t>
  </si>
  <si>
    <t>SERIA EL IDEAL</t>
  </si>
  <si>
    <t>¿Se necesita que muchos dispositivos puedan sincronizar al mismo tiempo al terminar la jornada sin que el sistema se degrade?</t>
  </si>
  <si>
    <t>¿Se necesita que la información sincronizada se vea reflejada en la consulta web de inmediato?</t>
  </si>
  <si>
    <t>¿Se necesita que la información sincronizada se vea reflejada en la consulta web dentro de la misma hora?</t>
  </si>
  <si>
    <t>¿Se necesita que la información sincronizada se vea reflejada al día siguiente?</t>
  </si>
  <si>
    <t>¿Se necesita que un reporte de un mes se genere en menos de diez segundos?</t>
  </si>
  <si>
    <t>¿Se necesita que un reporte que abarque varios años se genere sin espera significativa?</t>
  </si>
  <si>
    <t>¿Se necesita que la proyección se recalcule en el momento en que llega información nueva?</t>
  </si>
  <si>
    <t>¿Se necesita que la proyección se recalcule una vez al día en un horario fijo?</t>
  </si>
  <si>
    <t>¿Se necesita que la aplicación funcione con fluidez en dispositivos de gama baja o de varios años de antigüedad?</t>
  </si>
  <si>
    <t>¿Se necesita que la aplicación no agote la batería del dispositivo antes de terminar la jornada?</t>
  </si>
  <si>
    <t>¿Se necesita que el rendimiento se mantenga igual en temporada alta que en el resto del año?</t>
  </si>
  <si>
    <t>Capacidad para ser Auditado</t>
  </si>
  <si>
    <t>¿Se necesita saber quién capturó cada dato?</t>
  </si>
  <si>
    <t>¿Se necesita saber la fecha y la hora exactas en que se capturó cada dato?</t>
  </si>
  <si>
    <t>¿Se necesita distinguir la hora en que se capturó de la hora en que se sincronizó?</t>
  </si>
  <si>
    <t>¿Se necesita saber desde qué dispositivo se capturó cada dato?</t>
  </si>
  <si>
    <t>¿Se necesita saber en qué lugar físico se encontraba el dispositivo al capturar?</t>
  </si>
  <si>
    <t>¿Se necesita conservar todas las versiones anteriores de un dato modificado, y no solo la última?</t>
  </si>
  <si>
    <t>¿Se necesita saber quién hizo cada modificación y por qué motivo?</t>
  </si>
  <si>
    <t>¿Se necesita poder ver la historia completa de una cama desde la siembra hasta la erradicación?</t>
  </si>
  <si>
    <t>¿Se necesita poder ver la historia completa de un lote a través de varias camas?</t>
  </si>
  <si>
    <t>¿Se necesita poder ver la historia completa de una variedad a través de varios ciclos?</t>
  </si>
  <si>
    <t>¿Se necesita poder llegar, desde una cifra de un reporte, hasta los datos individuales que la componen?</t>
  </si>
  <si>
    <t>¿Se necesita registrar también quién consultó o exportó la información, y no solo quién la modificó?</t>
  </si>
  <si>
    <t>¿Se necesita que el registro de lo ocurrido no pueda ser alterado ni borrado por nadie?</t>
  </si>
  <si>
    <t>¿Se necesita poder exportar ese registro para entregarlo a un tercero?</t>
  </si>
  <si>
    <t>¿Se necesita conservar la trazabilidad durante al menos cinco años?</t>
  </si>
  <si>
    <t>¿Se necesita conservar la trazabilidad de manera indefinida?</t>
  </si>
  <si>
    <t>¿Se necesita registrar el motivo cada vez que disminuye la cantidad de plantas o de tallos esperados?</t>
  </si>
  <si>
    <t>¿Se necesita poder demostrar ante una auditoría externa el origen de cualquier cifra del sistema?</t>
  </si>
  <si>
    <t>¿Se necesita responder auditorías de certificación (por ejemplo Florverde, Rainforest Alliance o GLOBALG.A.P.) con información sacada del sistema?</t>
  </si>
  <si>
    <t>¿Se necesita conservar dentro del sistema la evidencia de las labores aplicadas a un cultivo que exige la autoridad fitosanitaria?</t>
  </si>
  <si>
    <t>¿Se necesita poder entregar a un comprador la historia completa del lote que adquirió?</t>
  </si>
  <si>
    <t>¿Se necesita que un auditor externo pueda consultar el sistema directamente, sin poder modificar nada?</t>
  </si>
  <si>
    <t>¿Se necesita que ese acceso de consulta externa tenga fecha de vencimiento automática?</t>
  </si>
  <si>
    <t>¿Se necesita generar el informe para una auditoría desde el propio sistema, sin ayuda técnica?</t>
  </si>
  <si>
    <t>¿Se necesita poder demostrar que la información no fue alterada después de haberse cerrado el periodo?</t>
  </si>
  <si>
    <t>¿Se necesita que quede constancia de quién ha visto la información que está protegida como secreto empresarial?</t>
  </si>
  <si>
    <t>¿Se necesita conservar la información durante un periodo mínimo exigido por norma, aunque ya no se use en la operación?</t>
  </si>
  <si>
    <t>DE POR VIDA</t>
  </si>
  <si>
    <t>¿Se necesita que exista un momento en que la información se deba eliminar por obligación normativa?</t>
  </si>
  <si>
    <t>¿Se necesita que los datos personales de quienes capturan reciban un tratamiento distinto al de los datos de producción?</t>
  </si>
  <si>
    <t>¿Se necesita registrar quién aprobó una proyección antes de que se comunique fuera del área?</t>
  </si>
  <si>
    <t>¿Se necesita que las revisiones de calidad de la información queden registradas como evidencia, y no solo su resultado?</t>
  </si>
  <si>
    <t>¿Se necesita poder demostrar con información del propio sistema el cumplimiento de un compromiso adquirido con un tercero?</t>
  </si>
  <si>
    <t>Capacidad</t>
  </si>
  <si>
    <t>¿Se necesita que el sistema soporte toda la información de una finca completa?</t>
  </si>
  <si>
    <t>¿Se necesita que el sistema soporte varias fincas de la misma empresa?</t>
  </si>
  <si>
    <t>¿Se necesita que el sistema soporte varias empresas distintas al mismo tiempo?</t>
  </si>
  <si>
    <t>¿Se necesita conservar en línea la información del último año?</t>
  </si>
  <si>
    <t>O DE OTROS AÑOS</t>
  </si>
  <si>
    <t>¿Se necesita conservar en línea la información de los últimos cinco años?</t>
  </si>
  <si>
    <t>¿Se necesita conservar en línea toda la información desde el primer día, sin límite de tiempo?</t>
  </si>
  <si>
    <t>¿Se necesita que la información antigua siga estando disponible con la misma rapidez que la reciente?</t>
  </si>
  <si>
    <t>¿Se aceptaría que la información de más de cierta antigüedad tarde más en consultarse?</t>
  </si>
  <si>
    <t>¿Se necesita almacenar fotografías tomadas en campo junto con los datos?</t>
  </si>
  <si>
    <t>¿Se necesita almacenar documentos o formatos escaneados asociados a una cama o a un lote?</t>
  </si>
  <si>
    <t>¿Se necesita conservar a la vez la copia sin modificar y la copia corregida de cada dato?</t>
  </si>
  <si>
    <t>¿Se necesita que el dispositivo pueda guardar la información de varios días sin sincronizar sin quedarse sin espacio?</t>
  </si>
  <si>
    <t>¿Se necesita que el dispositivo tenga descargado todo el catálogo de la finca antes de salir a capturar?</t>
  </si>
  <si>
    <t>¿Se necesita prever un crecimiento del volumen de información año tras año sin cambiar de sistema?</t>
  </si>
  <si>
    <t>¿Se necesita que el costo de almacenamiento por finca se mantenga acotado a medida que crece la historia?</t>
  </si>
  <si>
    <t>Capacidad para ser Administrado</t>
  </si>
  <si>
    <t>¿Se necesita poder crear y dar de baja usuarios sin solicitarlo a quien desarrolló el sistema?</t>
  </si>
  <si>
    <t>¿Se necesita poder cambiar los permisos de un usuario de manera inmediata?</t>
  </si>
  <si>
    <t>¿Se necesita poder retirar el acceso de un usuario el mismo día en que deja de trabajar en la finca?</t>
  </si>
  <si>
    <t>¿Se necesita poder crear bloques, camas y secciones nuevas sin desarrollo adicional?</t>
  </si>
  <si>
    <t>¿Se necesita poder crear variedades nuevas sin desarrollo adicional?</t>
  </si>
  <si>
    <t>¿Se necesita poder cambiar los grados de calidad y sus definiciones sin desarrollo adicional?</t>
  </si>
  <si>
    <t>¿Se necesita poder cambiar la densidad de siembra o los parámetros de cálculo sin desarrollo adicional?</t>
  </si>
  <si>
    <t>¿Se necesita que un cambio de parámetros no altere las proyecciones ya emitidas?</t>
  </si>
  <si>
    <t>¿Se necesita ver en una sola pantalla qué dispositivos tienen información pendiente de sincronizar?</t>
  </si>
  <si>
    <t>¿Se necesita ver en una sola pantalla el avance de captura del día por bloque?</t>
  </si>
  <si>
    <t>¿Se necesita poder forzar la sincronización de un dispositivo de manera remota?</t>
  </si>
  <si>
    <t>¿Se necesita poder actualizar la aplicación en todos los dispositivos sin recogerlos uno por uno?</t>
  </si>
  <si>
    <t>¿Se necesita que una actualización nunca obligue a suspender la captura del día?</t>
  </si>
  <si>
    <t>¿Se necesita poder configurar con anticipación las fechas de temporada alta y baja, y los días festivos o no laborables de la finca?</t>
  </si>
  <si>
    <t>* NO SE ENTIENDE</t>
  </si>
  <si>
    <t>¿Se necesita que la administración del sistema se pueda hacer desde un computador de la finca, sin herramientas técnicas especiales?</t>
  </si>
  <si>
    <t>¿Se necesita que quien administra el sistema en la finca no pueda modificar la información de producción?</t>
  </si>
  <si>
    <t>Experiencia de Usuario</t>
  </si>
  <si>
    <t>¿Se necesita que la captura se pueda completar con una sola mano?</t>
  </si>
  <si>
    <t>¿Se necesita que la captura se pueda hacer con guantes puestos?</t>
  </si>
  <si>
    <t>¿Se necesita que la pantalla sea legible bajo el sol directo?</t>
  </si>
  <si>
    <t>¿Se necesita que la mayoría de los datos se capturen escogiendo de una lista y no escribiendo?</t>
  </si>
  <si>
    <t>¿Se necesita reducir al mínimo la cantidad de toques necesarios para registrar una cama?</t>
  </si>
  <si>
    <t>¿Se necesita poder deshacer el último dato registrado sin salir de la pantalla?</t>
  </si>
  <si>
    <t>¿Se necesita ver en todo momento cuánto se lleva capturado y cuánto falta de la jornada?</t>
  </si>
  <si>
    <t>¿Se necesita que la aplicación indique con claridad qué información ya se sincronizó y cuál no?</t>
  </si>
  <si>
    <t>¿Se necesita que los nombres que aparecen en pantalla sean exactamente los que se usan hablando en la finca?</t>
  </si>
  <si>
    <t>¿Se necesita que la aplicación se pueda usar sin capacitación formal previa?</t>
  </si>
  <si>
    <t>¿Se necesita que una persona nueva pueda capturar correctamente su primera cama en menos de diez minutos de acompañamiento?</t>
  </si>
  <si>
    <t>¿Se necesita poder identificar la cama escaneando una marca física en lugar de escribir el código?</t>
  </si>
  <si>
    <t>¿Se necesita poder capturar dictando por voz en lugar de escribiendo?</t>
  </si>
  <si>
    <t>¿Se necesita que el sistema sugiera valores mientras se captura, siempre que la sugerencia se pueda rechazar?</t>
  </si>
  <si>
    <t>¿Se necesita que la consulta de resultados se pueda hacer desde un celular y no solo desde un computador?</t>
  </si>
  <si>
    <t>¿Se necesita que cada quien pueda armar su propia vista de consulta sin pedirla a nadie?</t>
  </si>
  <si>
    <t>¿Se necesita ver el estado de las camas sobre una representación gráfica del bloque y no solo en una lista?</t>
  </si>
  <si>
    <t>¿Se necesita que los mensajes de error expliquen qué hacer y no solo qué salió mal?</t>
  </si>
  <si>
    <t>OPCIONAL</t>
  </si>
  <si>
    <t>Seguridad</t>
  </si>
  <si>
    <t>¿Se necesita que cada persona entre al sistema con una identificación propia y no compartida?</t>
  </si>
  <si>
    <t>¿Se necesita poder entrar a la aplicación de captura estando sin conexión?</t>
  </si>
  <si>
    <t>¿Se necesita que la sesión se cierre sola después de un tiempo sin uso?</t>
  </si>
  <si>
    <t>¿Se necesita que la información guardada en el dispositivo quede ilegible si el dispositivo se pierde o lo roban?</t>
  </si>
  <si>
    <t>¿Se necesita poder borrar de manera remota la información de un dispositivo perdido?</t>
  </si>
  <si>
    <t>¿Se necesita que la información de una empresa nunca pueda ser vista desde otra empresa, bajo ninguna circunstancia?</t>
  </si>
  <si>
    <t>¿Se necesita poder demostrar documentalmente ese aislamiento ante el cliente?</t>
  </si>
  <si>
    <t>¿Se necesita que quien opera la plataforma no pueda leer la información de producción de la empresa?</t>
  </si>
  <si>
    <t>¿Se necesita que todo acceso técnico a la información quede registrado y sea revisable?</t>
  </si>
  <si>
    <t>¿Se necesita que la información viaje cifrada entre el dispositivo y la nube?</t>
  </si>
  <si>
    <t>¿Se necesita que las copias de respaldo estén cifradas?</t>
  </si>
  <si>
    <t>¿Se necesita que la llave para descifrar los respaldos sea distinta para cada empresa?</t>
  </si>
  <si>
    <t>¿Se necesita restringir quién puede exportar información fuera del sistema?</t>
  </si>
  <si>
    <t>¿Se necesita que quede registro de cada exportación realizada?</t>
  </si>
  <si>
    <t>¿Se necesita marcar los archivos exportados para poder identificar su origen si se filtran?</t>
  </si>
  <si>
    <t>¿Se necesita que el personal temporal tenga un acceso que caduque solo al terminar su contrato?</t>
  </si>
  <si>
    <t>¿Se necesita que el sistema avise cuando alguien intenta entrar repetidamente sin lograrlo?</t>
  </si>
  <si>
    <t>¿Se necesita que exista información que no pueda salir del país donde está la finca?</t>
  </si>
  <si>
    <t>¿Se aceptaría que dentro de una misma empresa toda la información sea visible para todos sus usuarios?</t>
  </si>
  <si>
    <t>Interoperatividad</t>
  </si>
  <si>
    <t>¿Se necesita poder exportar la información a Excel?</t>
  </si>
  <si>
    <t>¿Se necesita poder exportar los reportes a PDF?</t>
  </si>
  <si>
    <t>¿Se necesita que la exportación conserve exactamente el formato de los archivos que hoy se comparten?</t>
  </si>
  <si>
    <t>¿Se necesita cargar la información inicial de la finca desde los archivos que ya existen?</t>
  </si>
  <si>
    <t>¿Se necesita que el sistema entregue información al sistema administrativo que la empresa ya tiene?</t>
  </si>
  <si>
    <t>¿Se necesita que el sistema tome información del sistema administrativo que la empresa ya tiene?</t>
  </si>
  <si>
    <t>¿Se necesita que el sistema conviva con la aplicación de plagas sin reemplazarla?</t>
  </si>
  <si>
    <t>¿Se necesita que el sistema consuma la información que produce la aplicación de plagas?</t>
  </si>
  <si>
    <t>¿Se necesita que el sistema entregue información al proceso de nómina o de productividades?</t>
  </si>
  <si>
    <t>PRODUCTIVIDADES SI</t>
  </si>
  <si>
    <t>¿Se necesita que la información se pueda leer desde una herramienta de análisis externa?</t>
  </si>
  <si>
    <t>POWER BI</t>
  </si>
  <si>
    <t>¿Se necesita que exista una manera automática de conectar el sistema con otros programas, sin intervención manual?</t>
  </si>
  <si>
    <t>¿Se necesita que la información se pueda entregar a un cliente o a un comercializador externo?</t>
  </si>
  <si>
    <t>¿Se aceptaría que, en la primera entrega, la única forma de intercambio sea la exportación manual a Excel y PDF?</t>
  </si>
  <si>
    <t>Escalabilidad</t>
  </si>
  <si>
    <t>¿Se necesita poder agregar bloques y camas nuevas en plena temporada sin interrumpir la operación?</t>
  </si>
  <si>
    <t>¿Se necesita poder duplicar la cantidad de personas que capturan sin que el sistema se vuelva más lento?</t>
  </si>
  <si>
    <t>¿Se necesita poder agregar una finca nueva sin volver a instalar ni reconfigurar todo?</t>
  </si>
  <si>
    <t>¿Se necesita poder agregar una empresa nueva sin afectar a las que ya están funcionando?</t>
  </si>
  <si>
    <t>¿Se necesita soportar el aumento de actividad de la temporada alta sin degradación perceptible?</t>
  </si>
  <si>
    <t>¿Se necesita soportar que varias empresas tengan su pico de temporada exactamente en las mismas fechas?</t>
  </si>
  <si>
    <t>¿Se necesita que el crecimiento del sistema no implique un aumento proporcional del costo por finca?</t>
  </si>
  <si>
    <t>¿Se necesita que un cambio en la estructura del sistema se aplique a todas las empresas sin intervención manual una por una?</t>
  </si>
  <si>
    <t>¿Se necesita que el sistema soporte varios años de historia acumulada sin que las consultas se vuelvan lentas?</t>
  </si>
  <si>
    <t>¿Se necesita prever el uso simultáneo de más de treinta personas subiendo información el mismo día?</t>
  </si>
  <si>
    <t>¿Se necesita que agregar un tipo de labor o de medición nueva no exija rehacer la captura existente?</t>
  </si>
  <si>
    <t>Capacidad para ser Soportado</t>
  </si>
  <si>
    <t>¿Se necesita que exista alguien dentro de la finca capaz de resolver los problemas del día a día?</t>
  </si>
  <si>
    <t>¿Se necesita que un problema en plena jornada de captura se resuelva el mismo día?</t>
  </si>
  <si>
    <t>¿Se necesita que un problema en plena jornada de captura se resuelva en menos de una hora?</t>
  </si>
  <si>
    <t>¿Se necesita poder reportar un problema desde la misma aplicación, sin llamar por teléfono?</t>
  </si>
  <si>
    <t>¿Se necesita que el reporte de un problema incluya automáticamente lo que estaba haciendo la persona cuando ocurrió?</t>
  </si>
  <si>
    <t>¿Se necesita poder diagnosticar un problema sin tener que desplazarse hasta la finca?</t>
  </si>
  <si>
    <t>¿Se necesita poder revisar el estado de un dispositivo de forma remota?</t>
  </si>
  <si>
    <t>¿Se necesita que el soporte esté disponible en horario extendido durante la temporada alta?</t>
  </si>
  <si>
    <t>¿Se necesita que exista un manual de uso escrito?</t>
  </si>
  <si>
    <t>¿Se necesita que existan videos cortos de apoyo dentro de la propia aplicación?</t>
  </si>
  <si>
    <t>¿Se necesita que la persona que capturó pueda seguir trabajando mientras su problema se resuelve?</t>
  </si>
  <si>
    <t>¿Se necesita llevar un registro de los problemas reportados y de cómo se resolvieron?</t>
  </si>
  <si>
    <t>¿Se necesita que la puesta en marcha del sistema no detenga la operación por más de una semana?</t>
  </si>
  <si>
    <t>Portabilidad</t>
  </si>
  <si>
    <t>¿Se necesita que la aplicación de captura funcione en dispositivos Android?</t>
  </si>
  <si>
    <t>¿Se necesita que la aplicación de captura funcione también en dispositivos Apple?</t>
  </si>
  <si>
    <t>¿Se necesita que la aplicación funcione en tabletas además de en celulares?</t>
  </si>
  <si>
    <t>¿Se necesita que la consulta funcione en cualquier navegador, sin instalar nada?</t>
  </si>
  <si>
    <t>¿Se necesita que el dispositivo de captura lo ponga cada persona y no la empresa?</t>
  </si>
  <si>
    <t>IDEAL DE LA EMPRESA</t>
  </si>
  <si>
    <t>¿Se necesita poder cambiar de dispositivo conservando la información que aún no se ha sincronizado?</t>
  </si>
  <si>
    <t>¿Se necesita que la misma persona pueda usar dos dispositivos distintos el mismo día?</t>
  </si>
  <si>
    <t>¿Se necesita que el sistema pueda operar en una finca ubicada en otro país?</t>
  </si>
  <si>
    <t>¿Se necesita que el sistema maneje otro idioma además del español?</t>
  </si>
  <si>
    <t>¿Se necesita que el sistema maneje unidades de medida distintas según la finca?</t>
  </si>
  <si>
    <t>¿Se necesita poder llevarse toda la información en un formato utilizable si se termina la relación con el proveedor?</t>
  </si>
  <si>
    <t>¿Se necesita que el sistema pueda instalarse en servidores de la propia empresa y no solo en la nube?</t>
  </si>
  <si>
    <t>¿Se necesita que el sistema pueda funcionar con un tipo de flor distinto al que se maneja hoy?</t>
  </si>
  <si>
    <t>Accesibilidad</t>
  </si>
  <si>
    <t>¿Se necesita que el sistema lo pueda usar una persona con poca experiencia en el manejo de celulares?</t>
  </si>
  <si>
    <t>¿Se necesita que el sistema lo pueda usar una persona con dificultad para leer textos largos?</t>
  </si>
  <si>
    <t>¿Se necesita que las opciones se identifiquen con imágenes o símbolos además de con palabras?</t>
  </si>
  <si>
    <t>¿Se necesita que el tamaño de la letra se pueda aumentar sin que la pantalla deje de funcionar?</t>
  </si>
  <si>
    <t>¿Se necesita que la información nunca dependa solo del color para entenderse?</t>
  </si>
  <si>
    <t>¿Se necesita que el sistema sea usable por una persona que no distingue ciertos colores?</t>
  </si>
  <si>
    <t>¿Se necesita que los botones sean lo bastante grandes para acertarles sin precisión fina?</t>
  </si>
  <si>
    <t>¿Se necesita que la aplicación se pueda escuchar en lugar de leer?</t>
  </si>
  <si>
    <t>¿Se necesita que la aplicación funcione en un ambiente ruidoso, sin depender del sonido?</t>
  </si>
  <si>
    <t>¿Se necesita que la consulta web cumpla algún estándar formal de accesibilidad?</t>
  </si>
  <si>
    <t>¿Se necesita que exista una manera alternativa de reportar la información cuando alguien no puede usar el dispositivo?</t>
  </si>
  <si>
    <t>Cierre de la sesión</t>
  </si>
  <si>
    <t>De todo lo que respondió «Sí», ¿hay algo que, si el sistema no lo cumple, haría que no valga la pena usarlo?</t>
  </si>
  <si>
    <t>CERTEZA DE LOS DATOS, QUE SE INGRESEN LOS DATOS CORRECTAMENTE</t>
  </si>
  <si>
    <t>¿Hay alguna de estas exigencias que esté dispuesto a sacrificar con tal de que la captura en campo sea más rápida?</t>
  </si>
  <si>
    <t>¿Hay algo que necesite el sistema y que ninguna de estas preguntas haya tocado?</t>
  </si>
  <si>
    <t>Atributos propuestos por usuario</t>
  </si>
  <si>
    <t>Atributos Promediados entre usuario y Arquitectos</t>
  </si>
  <si>
    <t>Atributos de Calidad</t>
  </si>
  <si>
    <t>Prioridad</t>
  </si>
  <si>
    <t>&lt;----Prioridad----&gt;</t>
  </si>
  <si>
    <t>Atributos Propuestos por Arquitectos</t>
  </si>
  <si>
    <t>Atributos de calidad</t>
  </si>
  <si>
    <t>&lt;---Actores----&gt;</t>
  </si>
  <si>
    <t>Supervisor de Campo</t>
  </si>
  <si>
    <t>Gerente de producción</t>
  </si>
  <si>
    <t>Administrador del sistema</t>
  </si>
  <si>
    <t>Puntuación total</t>
  </si>
  <si>
    <t>Porcentaje</t>
  </si>
  <si>
    <t>|</t>
  </si>
  <si>
    <t>Rank</t>
  </si>
  <si>
    <t>Producción</t>
  </si>
  <si>
    <t>Metodologia: cada rol (Tomador de datos, Producción, Administrador) distribuyó 65 puntos entre 29 preguntas (2x5 + 3x4 + 6x3 + 7x2 + 11x1), priorizando segun la importancia de cada atributo de calidad para ese rol (hoja '2. Priorización-QA'), el consenso de necesidad (SI) en la hoja '3. Caracterización' y las citas textuales del cliente (CITAS_TEXTUALES_CLIENTE.md, HOJA_SESION_CLIENTE.md). Estas son las 65 preguntas con mayor puntaje total sumando los 3 roles; en caso de empate se prefirió el atributo de calidad de mayor prioridad promedio entre los 3 roles, el mayor consenso (SI) entre Juan, Jerónimo y el Cliente, y evidencia textual directa del cliente cuando existía (p. ej. RF-C17 sobre quién corrige un dato ya sincronizado).</t>
  </si>
  <si>
    <t>ID</t>
  </si>
  <si>
    <t>Pregunta (planteamiento corregido)</t>
  </si>
  <si>
    <t>Fuente</t>
  </si>
  <si>
    <t>Estímulo</t>
  </si>
  <si>
    <t>Artefacto</t>
  </si>
  <si>
    <t>Entorno</t>
  </si>
  <si>
    <t>Respuesta</t>
  </si>
  <si>
    <t>Medida de respuesta</t>
  </si>
  <si>
    <t>Escenario de calidad</t>
  </si>
  <si>
    <t>Observación</t>
  </si>
  <si>
    <t>ESC-01</t>
  </si>
  <si>
    <t>Se necesita que ningún dato capturado en campo se pierda ante cierre inesperado, batería agotada, pérdida de conexión o fallo de sincronización.</t>
  </si>
  <si>
    <t>un supervisor de campo</t>
  </si>
  <si>
    <t>termina la captura de una cama y el dispositivo falla (batería agotada, cierre inesperado o pérdida de conexión) antes de sincronizar</t>
  </si>
  <si>
    <t>el almacenamiento local de la app de captura y su cola de sincronización</t>
  </si>
  <si>
    <t>en operación normal en campo, sin conexión de datos</t>
  </si>
  <si>
    <t>conserva el registro en el dispositivo y lo entrega al servidor en la siguiente sincronización, sin duplicarlo ni alterarlo</t>
  </si>
  <si>
    <t>0 registros perdidos sobre el total capturado, 0 duplicados tras la sincronización y 100% de los registros recuperables tras reiniciar el dispositivo</t>
  </si>
  <si>
    <t>un supervisor de campo termina la captura de una cama y el dispositivo falla (batería agotada, cierre inesperado o pérdida de conexión) antes de sincronizar, sobre el almacenamiento local de la app de captura y su cola de sincronización, en operación normal en campo, sin conexión de datos. El sistema conserva el registro en el dispositivo y lo entrega al servidor en la siguiente sincronización, sin duplicarlo ni alterarlo, con 0 registros perdidos sobre el total capturado, 0 duplicados tras la sincronización y 100% de los registros recuperables tras reiniciar el dispositivo.</t>
  </si>
  <si>
    <t>El planteamiento original era una afirmación absoluta, sin estímulo ni medida. Se acotó a los eventos de falla concretos y a la tolerancia de pérdida cero ya medida con el cliente.</t>
  </si>
  <si>
    <t>ESC-02</t>
  </si>
  <si>
    <t>Se necesita que un dato fuera del rango posible (por ejemplo, más tallos que plantas sembradas) sea rechazado en el momento de la captura, aun sin conexión.</t>
  </si>
  <si>
    <t>digita un valor que viola una regla de rango (tallos mayores que las plantas sembradas de la sección)</t>
  </si>
  <si>
    <t>el motor de validación embebido en la app de captura</t>
  </si>
  <si>
    <t>en campo, sin conexión</t>
  </si>
  <si>
    <t>rechaza el valor en pantalla, indica la regla violada y no permite guardar hasta corregirlo</t>
  </si>
  <si>
    <t>100% de los valores fuera de rango rechazados en el propio dispositivo, respuesta visible en menos de 1 segundo y 0 registros fuera de rango llegando al servidor</t>
  </si>
  <si>
    <t>un supervisor de campo digita un valor que viola una regla de rango (tallos mayores que las plantas sembradas de la sección), sobre el motor de validación embebido en la app de captura, en campo, sin conexión. El sistema rechaza el valor en pantalla, indica la regla violada y no permite guardar hasta corregirlo, con 100% de los valores fuera de rango rechazados en el propio dispositivo, respuesta visible en menos de 1 segundo y 0 registros fuera de rango llegando al servidor.</t>
  </si>
  <si>
    <t>Estaba planteado como funcionalidad («que rechace»). Se replanteó como propiedad de confiabilidad verificable en el punto de captura y sin red.</t>
  </si>
  <si>
    <t>ESC-03</t>
  </si>
  <si>
    <t>Se necesita que la información quede respaldada de forma automática y recuperable, sin que ninguna persona tenga que solicitarlo.</t>
  </si>
  <si>
    <t>el programador de respaldos del sistema</t>
  </si>
  <si>
    <t>dispara el respaldo al cumplirse el intervalo definido, sin intervención humana</t>
  </si>
  <si>
    <t>la base de datos de la empresa y su repositorio de respaldos</t>
  </si>
  <si>
    <t>en operación normal, incluida la temporada alta</t>
  </si>
  <si>
    <t>genera, cifra y verifica el respaldo y registra el resultado sin que nadie lo pida</t>
  </si>
  <si>
    <t>100% de respaldos ejecutados dentro de su ventana, pérdida de datos 0 confirmada y restauración completa en 1 día o menos</t>
  </si>
  <si>
    <t>el programador de respaldos del sistema dispara el respaldo al cumplirse el intervalo definido, sin intervención humana, sobre la base de datos de la empresa y su repositorio de respaldos, en operación normal, incluida la temporada alta. El sistema genera, cifra y verifica el respaldo y registra el resultado sin que nadie lo pida, con 100% de respaldos ejecutados dentro de su ventana, pérdida de datos 0 confirmada y restauración completa en 1 día o menos.</t>
  </si>
  <si>
    <t>Se replanteó de «hacer copias» a la propiedad de recuperabilidad, atada a las tolerancias medidas: pérdida cero y 1 día para restaurar.</t>
  </si>
  <si>
    <t>ESC-04</t>
  </si>
  <si>
    <t>Se necesita que la captura en el área de cultivo siga siendo posible durante toda la jornada sin ninguna conexión de datos.</t>
  </si>
  <si>
    <t>entra a un bloque sin cobertura y captura durante toda la jornada</t>
  </si>
  <si>
    <t>la app de captura en el dispositivo Android y su almacén local</t>
  </si>
  <si>
    <t>sin conexión, jornada completa en campo</t>
  </si>
  <si>
    <t>permite capturar, validar y guardar localmente todos los registros y los encola para sincronizar cuando vuelva la conexión</t>
  </si>
  <si>
    <t>100% de las funciones de captura disponibles sin red, 0 registros perdidos y jornada completa (8 horas o más) sin conexión</t>
  </si>
  <si>
    <t>un supervisor de campo entra a un bloque sin cobertura y captura durante toda la jornada, sobre la app de captura en el dispositivo Android y su almacén local, sin conexión, jornada completa en campo. El sistema permite capturar, validar y guardar localmente todos los registros y los encola para sincronizar cuando vuelva la conexión, con 100% de las funciones de captura disponibles sin red, 0 registros perdidos y jornada completa (8 horas o más) sin conexión.</t>
  </si>
  <si>
    <t>El original describía una funcionalidad. Se replanteó como disponibilidad de la captura ante ausencia total de red durante toda la jornada.</t>
  </si>
  <si>
    <t>ESC-05</t>
  </si>
  <si>
    <t>Se necesita que la proyección quede actualizada poco después de que llega información nueva, sin esperar al ciclo semanal.</t>
  </si>
  <si>
    <t>los dispositivos de captura al cierre de jornada</t>
  </si>
  <si>
    <t>sincronizan la información de la jornada</t>
  </si>
  <si>
    <t>el motor de proyección y sus versiones publicadas</t>
  </si>
  <si>
    <t>al cierre de jornada, con los 3 dispositivos sincronizando, también en temporada alta (+60% de registros)</t>
  </si>
  <si>
    <t>recalcula la proyección afectada y publica una versión nueva conservando la anterior</t>
  </si>
  <si>
    <t>proyección actualizada en 1 hora o menos desde la sincronización, degradación máxima del 20% en temporada alta y 0 versiones anteriores sobrescritas</t>
  </si>
  <si>
    <t>los dispositivos de captura al cierre de jornada sincronizan la información de la jornada, sobre el motor de proyección y sus versiones publicadas, al cierre de jornada, con los 3 dispositivos sincronizando, también en temporada alta (+60% de registros). El sistema recalcula la proyección afectada y publica una versión nueva conservando la anterior, con proyección actualizada en 1 hora o menos desde la sincronización, degradación máxima del 20% en temporada alta y 0 versiones anteriores sobrescritas.</t>
  </si>
  <si>
    <t>«Que se recalcule» era funcionalidad. Se replanteó como latencia máxima de actualización, con conservación explícita de la versión anterior.</t>
  </si>
  <si>
    <t>ESC-06</t>
  </si>
  <si>
    <t>Se necesita que el administrador de la empresa pueda parametrizar el sistema sin poder alterar la información de producción ya capturada.</t>
  </si>
  <si>
    <t>un administrador de la empresa (el ingeniero de sistemas de la finca)</t>
  </si>
  <si>
    <t>intenta modificar un registro de siembra, corte o baja ya capturado</t>
  </si>
  <si>
    <t>el control de acceso y el registro de producción</t>
  </si>
  <si>
    <t>en operación normal</t>
  </si>
  <si>
    <t>rechaza la modificación, la deja registrada en la bitácora y ofrece la vía de corrección autorizada</t>
  </si>
  <si>
    <t>100% de los intentos rechazados y registrados, 0 registros de producción modificados por ese rol y separación de deberes verificable en la matriz de permisos</t>
  </si>
  <si>
    <t>un administrador de la empresa (el ingeniero de sistemas de la finca) intenta modificar un registro de siembra, corte o baja ya capturado, sobre el control de acceso y el registro de producción, en operación normal. El sistema rechaza la modificación, la deja registrada en la bitácora y ofrece la vía de corrección autorizada, con 100% de los intentos rechazados y registrados, 0 registros de producción modificados por ese rol y separación de deberes verificable en la matriz de permisos.</t>
  </si>
  <si>
    <t>Estaba planteado como una restricción funcional. Se replanteó como escenario de administrabilidad con separación de deberes verificable.</t>
  </si>
  <si>
    <t>ESC-07</t>
  </si>
  <si>
    <t>Se necesita que al cambiar los rangos y las reglas de validación se actualicen en los dispositivos sin depender de una nueva versión de la aplicación.</t>
  </si>
  <si>
    <t>un administrador de la empresa, con el valor aprobado por producción</t>
  </si>
  <si>
    <t>cambia un rango válido, un ciclo, un margen o una regla de validación y ejecuta la acción de guardar</t>
  </si>
  <si>
    <t>el catálogo de reglas y parámetros y su mecanismo de distribución a los dispositivos</t>
  </si>
  <si>
    <t>en operación normal, con los dispositivos ya en campo y posiblemente fuera de línea</t>
  </si>
  <si>
    <t>aplica la regla nueva sin publicar una versión de la aplicación y sin que nadie reinstale nada: la propaga a los dispositivos conectados y la deja en cola para los desconectados</t>
  </si>
  <si>
    <t>0 despliegues de aplicación, vigencia en todos los dispositivos en menos de un ciclo de sincronización, 0% de rechazos por conflicto con otras reglas, 0 proyecciones históricas alteradas y 0 solicitudes al desarrollador</t>
  </si>
  <si>
    <t>un administrador de la empresa, con el valor aprobado por producción cambia un rango válido, un ciclo, un margen o una regla de validación y ejecuta la acción de guardar, sobre el catálogo de reglas y parámetros y su mecanismo de distribución a los dispositivos, en operación normal, con los dispositivos ya en campo y posiblemente fuera de línea. El sistema aplica la regla nueva sin publicar una versión de la aplicación y sin que nadie reinstale nada: la propaga a los dispositivos conectados y la deja en cola para los desconectados, con 0 despliegues de aplicación, vigencia en todos los dispositivos en menos de un ciclo de sincronización, 0% de rechazos por conflicto con otras reglas, 0 proyecciones históricas alteradas y 0 solicitudes al desarrollador.</t>
  </si>
  <si>
    <t>Es el escenario del ejemplo de referencia: estaba planteado como funcionalidad y se replanteó como escenario de calidad.</t>
  </si>
  <si>
    <t>ESC-08</t>
  </si>
  <si>
    <t>Se necesita que un dato capturado y aún no sincronizado pueda corregirse en el dispositivo sin que se pierda el rastro de la corrección.</t>
  </si>
  <si>
    <t>detecta un error en un registro que todavía está en la cola local</t>
  </si>
  <si>
    <t>el registro local y la bitácora de cambios del dispositivo</t>
  </si>
  <si>
    <t>permite corregir el valor, conserva el valor original y el motivo, y sincroniza ambos</t>
  </si>
  <si>
    <t>corrección posible en 3 toques o menos, 100% de las correcciones con valor anterior y autor registrados y 0 registros sincronizados sin trazabilidad</t>
  </si>
  <si>
    <t>un supervisor de campo detecta un error en un registro que todavía está en la cola local, sobre el registro local y la bitácora de cambios del dispositivo, en campo, sin conexión. El sistema permite corregir el valor, conserva el valor original y el motivo, y sincroniza ambos, con corrección posible en 3 toques o menos, 100% de las correcciones con valor anterior y autor registrados y 0 registros sincronizados sin trazabilidad.</t>
  </si>
  <si>
    <t>«Poder corregir» era funcionalidad. Se replanteó como confiabilidad con trazabilidad obligatoria de la corrección.</t>
  </si>
  <si>
    <t>ESC-09</t>
  </si>
  <si>
    <t>Se necesita que toda proyección publicada sea reproducible: que se sepa con qué datos y con qué versión de parámetros fue calculada.</t>
  </si>
  <si>
    <t>un administrador de producción</t>
  </si>
  <si>
    <t>abre una proyección y pide su origen</t>
  </si>
  <si>
    <t>la versión de la proyección junto con el conjunto de datos y parámetros con que se calculó</t>
  </si>
  <si>
    <t>en operación normal, desde la consulta web</t>
  </si>
  <si>
    <t>muestra la versión de parámetros, el corte de datos y la fecha de cálculo, y permite recalcularla obteniendo el mismo resultado</t>
  </si>
  <si>
    <t>100% de las proyecciones con versión de datos y de parámetros asociada, recálculo idéntico (diferencia 0) sobre la misma versión e información disponible en 3 clics o menos</t>
  </si>
  <si>
    <t>un administrador de producción abre una proyección y pide su origen, sobre la versión de la proyección junto con el conjunto de datos y parámetros con que se calculó, en operación normal, desde la consulta web. El sistema muestra la versión de parámetros, el corte de datos y la fecha de cálculo, y permite recalcularla obteniendo el mismo resultado, con 100% de las proyecciones con versión de datos y de parámetros asociada, recálculo idéntico (diferencia 0) sobre la misma versión e información disponible en 3 clics o menos.</t>
  </si>
  <si>
    <t>Se replanteó de una consulta a la propiedad de reproducibilidad de la proyección, que es lo que la hace defendible ante el cliente.</t>
  </si>
  <si>
    <t>ESC-10</t>
  </si>
  <si>
    <t>Se necesita que la desviación entre lo proyectado y lo realmente cortado quede visible sobre la misma proyección, sin que nadie la calcule aparte.</t>
  </si>
  <si>
    <t>los datos reales de corte de un ciclo</t>
  </si>
  <si>
    <t>llegan al sistema al cerrarse el ciclo</t>
  </si>
  <si>
    <t>la proyección versionada y su indicador de desviación</t>
  </si>
  <si>
    <t>en operación normal, al cierre de ciclo</t>
  </si>
  <si>
    <t>calcula la desviación contra la versión de proyección que estaba vigente en ese momento y la muestra sobre la misma proyección</t>
  </si>
  <si>
    <t>desviación disponible en 1 día o menos tras el cierre del ciclo, 100% de los ciclos con desviación calculada y 0 comparaciones contra versiones recalculadas después</t>
  </si>
  <si>
    <t>los datos reales de corte de un ciclo llegan al sistema al cerrarse el ciclo, sobre la proyección versionada y su indicador de desviación, en operación normal, al cierre de ciclo. El sistema calcula la desviación contra la versión de proyección que estaba vigente en ese momento y la muestra sobre la misma proyección, con desviación disponible en 1 día o menos tras el cierre del ciclo, 100% de los ciclos con desviación calculada y 0 comparaciones contra versiones recalculadas después.</t>
  </si>
  <si>
    <t>Se precisó la nota del cliente («sobre la misma proyección») como comparación contra la versión vigente, nunca contra un recálculo posterior. Depende de ESC-45.</t>
  </si>
  <si>
    <t>ESC-11</t>
  </si>
  <si>
    <t>Se necesita que la información capturada se conserve cuando el dispositivo se apaga por batería agotada a mitad de una captura.</t>
  </si>
  <si>
    <t>el dispositivo del supervisor de campo</t>
  </si>
  <si>
    <t>se apaga por batería agotada con una captura a medio diligenciar</t>
  </si>
  <si>
    <t>el almacén local de la app de captura</t>
  </si>
  <si>
    <t>en campo, sin conexión, con la jornada avanzada</t>
  </si>
  <si>
    <t>restaura la captura en el punto donde iba al encender y la marca como pendiente</t>
  </si>
  <si>
    <t>0 registros perdidos, 1 campo por rehacer como máximo y restauración automática al abrir la app, sin acción del usuario</t>
  </si>
  <si>
    <t>el dispositivo del supervisor de campo se apaga por batería agotada con una captura a medio diligenciar, sobre el almacén local de la app de captura, en campo, sin conexión, con la jornada avanzada. El sistema restaura la captura en el punto donde iba al encender y la marca como pendiente, con 0 registros perdidos, 1 campo por rehacer como máximo y restauración automática al abrir la app, sin acción del usuario.</t>
  </si>
  <si>
    <t>Se conservó como escenario, agregando el estímulo de falla concreto y una medida de recuperación verificable.</t>
  </si>
  <si>
    <t>ESC-12</t>
  </si>
  <si>
    <t>Se necesita poder reconstruir la historia completa de una cama, desde la siembra hasta la erradicación, sin recurrir a los respaldos ni al equipo de desarrollo.</t>
  </si>
  <si>
    <t>selecciona una cama y pide su historia</t>
  </si>
  <si>
    <t>la bitácora de eventos de la cama y de sus secciones</t>
  </si>
  <si>
    <t>en operación normal, sobre la historia en línea (5 años)</t>
  </si>
  <si>
    <t>entrega la secuencia completa de siembra, cortes, bajas y erradicaciones con fecha, autor y motivo</t>
  </si>
  <si>
    <t>100% de los eventos presentes y ordenados, consulta en 5 segundos o menos para los últimos 5 años y 0 solicitudes al equipo de desarrollo</t>
  </si>
  <si>
    <t>un administrador de producción selecciona una cama y pide su historia, sobre la bitácora de eventos de la cama y de sus secciones, en operación normal, sobre la historia en línea (5 años). El sistema entrega la secuencia completa de siembra, cortes, bajas y erradicaciones con fecha, autor y motivo, con 100% de los eventos presentes y ordenados, consulta en 5 segundos o menos para los últimos 5 años y 0 solicitudes al equipo de desarrollo.</t>
  </si>
  <si>
    <t>«Poder ver» era funcionalidad. Se replanteó como auditabilidad completa y autosuficiente, sin depender de restaurar respaldos.</t>
  </si>
  <si>
    <t>ESC-13</t>
  </si>
  <si>
    <t>Se necesita que la creación y la baja de usuarios las resuelva la propia finca, sin solicitarlo a quien desarrolló el sistema.</t>
  </si>
  <si>
    <t>un administrador de la empresa</t>
  </si>
  <si>
    <t>crea un usuario nuevo o da de baja a uno que salió de la finca</t>
  </si>
  <si>
    <t>el módulo de usuarios y permisos de la empresa</t>
  </si>
  <si>
    <t>en operación normal, especialmente en temporada alta (+30 a 40% de personal)</t>
  </si>
  <si>
    <t>aplica y audita el cambio sin intervención del equipo FlorLogic</t>
  </si>
  <si>
    <t>alta o baja completada en 5 minutos o menos, 0 solicitudes al desarrollador y baja efectiva (sesión cerrada) en 1 minuto o menos</t>
  </si>
  <si>
    <t>un administrador de la empresa crea un usuario nuevo o da de baja a uno que salió de la finca, sobre el módulo de usuarios y permisos de la empresa, en operación normal, especialmente en temporada alta (+30 a 40% de personal). El sistema aplica y audita el cambio sin intervención del equipo FlorLogic, con alta o baja completada en 5 minutos o menos, 0 solicitudes al desarrollador y baja efectiva (sesión cerrada) en 1 minuto o menos.</t>
  </si>
  <si>
    <t>Se replanteó como administrabilidad autónoma, tomando el pico de personal de temporada alta como entorno relevante.</t>
  </si>
  <si>
    <t>ESC-14</t>
  </si>
  <si>
    <t>Se necesita que toda la administración corriente del sistema se haga desde un computador de la finca, sin herramientas técnicas ni acceso a la base de datos.</t>
  </si>
  <si>
    <t>necesita parametrizar, otorgar permisos o revisar el estado del sistema</t>
  </si>
  <si>
    <t>la consola de administración web</t>
  </si>
  <si>
    <t>en operación normal, desde la red de la finca y con un navegador</t>
  </si>
  <si>
    <t>expone todas las tareas de administración corrientes por interfaz, sin línea de comandos ni acceso directo a los datos</t>
  </si>
  <si>
    <t>100% de las tareas de administración definidas cubiertas por la consola, 0 tareas que exijan consola técnica o SQL y ninguna instalación adicional en el computador</t>
  </si>
  <si>
    <t>un administrador de la empresa necesita parametrizar, otorgar permisos o revisar el estado del sistema, sobre la consola de administración web, en operación normal, desde la red de la finca y con un navegador. El sistema expone todas las tareas de administración corrientes por interfaz, sin línea de comandos ni acceso directo a los datos, con 100% de las tareas de administración definidas cubiertas por la consola, 0 tareas que exijan consola técnica o SQL y ninguna instalación adicional en el computador.</t>
  </si>
  <si>
    <t>Se replanteó de «que se pueda hacer» a cobertura verificable de la consola, que es lo que hace medible «sin herramientas técnicas».</t>
  </si>
  <si>
    <t>ESC-15</t>
  </si>
  <si>
    <t>Se necesita que la app de captura siga siendo legible y operable bajo sol directo, sin que el supervisor tenga que buscar sombra.</t>
  </si>
  <si>
    <t>captura al mediodía, con sol directo sobre la pantalla</t>
  </si>
  <si>
    <t>la interfaz de la app de captura (contraste, tamaño de texto y controles)</t>
  </si>
  <si>
    <t>en campo, a sol directo, con guantes y una sola mano libre</t>
  </si>
  <si>
    <t>mantiene la información y los controles legibles y accionables sin cambiar de posición ni de ajustes</t>
  </si>
  <si>
    <t>contraste de 4.5:1 o mayor en todo el texto, objetivos táctiles de 48 dp o más y 100% de las tareas de captura completadas por los 3 supervisores en prueba a sol directo sin asistencia</t>
  </si>
  <si>
    <t>un supervisor de campo captura al mediodía, con sol directo sobre la pantalla, sobre la interfaz de la app de captura (contraste, tamaño de texto y controles), en campo, a sol directo, con guantes y una sola mano libre. El sistema mantiene la información y los controles legibles y accionables sin cambiar de posición ni de ajustes, con contraste de 4.5:1 o mayor en todo el texto, objetivos táctiles de 48 dp o más y 100% de las tareas de captura completadas por los 3 supervisores en prueba a sol directo sin asistencia.</t>
  </si>
  <si>
    <t>Se replanteó como escenario de usabilidad con entorno físico explícito y medidas verificables, en lugar de una preferencia.</t>
  </si>
  <si>
    <t>ESC-16</t>
  </si>
  <si>
    <t>Se necesita que el despliegue del sistema no dependa de un proveedor de nube en particular y pueda instalarse en infraestructura de la propia empresa.</t>
  </si>
  <si>
    <t>un administrador de la empresa, con el operador de la plataforma</t>
  </si>
  <si>
    <t>exige que los datos de la empresa permanezcan en su propia infraestructura</t>
  </si>
  <si>
    <t>el paquete de despliegue del sistema y la base de datos de esa empresa</t>
  </si>
  <si>
    <t>en la puesta en marcha de un cliente nuevo</t>
  </si>
  <si>
    <t>se instala en la infraestructura indicada usando el mismo paquete, sin cambios en el código</t>
  </si>
  <si>
    <t>0 cambios de código entre el despliegue en nube y en sitio, puesta en marcha en 7 días o menos (tope de retraso operativo) y 100% de las funciones disponibles en ambos modos</t>
  </si>
  <si>
    <t>un administrador de la empresa, con el operador de la plataforma exige que los datos de la empresa permanezcan en su propia infraestructura, sobre el paquete de despliegue del sistema y la base de datos de esa empresa, en la puesta en marcha de un cliente nuevo. El sistema se instala en la infraestructura indicada usando el mismo paquete, sin cambios en el código, con 0 cambios de código entre el despliegue en nube y en sitio, puesta en marcha en 7 días o menos (tope de retraso operativo) y 100% de las funciones disponibles en ambos modos.</t>
  </si>
  <si>
    <t>Se replanteó como independencia del proveedor. La observación de que contradecía el modelo multi-tenant quedó sin efecto: ese modelo se descartó y hoy manda ADR-001, que decide entrega local-first con una instalación por empresa. Es justo lo que este escenario pide, así que ya no hay nada que decidir.</t>
  </si>
  <si>
    <t>ESC-17</t>
  </si>
  <si>
    <t>Se necesita que ningún dato capturado quede fechado con un reloj alterado del dispositivo.</t>
  </si>
  <si>
    <t>el dispositivo de un supervisor de campo</t>
  </si>
  <si>
    <t>queda con la fecha o la hora desviadas de la referencia del sistema</t>
  </si>
  <si>
    <t>el sello de tiempo del registro capturado</t>
  </si>
  <si>
    <t>en campo, sin conexión, con el reloj del dispositivo como única referencia</t>
  </si>
  <si>
    <t>detecta la desviación, marca el registro y exige confirmación o corrección antes de aceptarlo</t>
  </si>
  <si>
    <t>desviaciones mayores a 5 minutos detectadas en el 100% de los casos, 0 registros sincronizados con fecha inconsistente sin marca y aviso al usuario en el momento</t>
  </si>
  <si>
    <t>el dispositivo de un supervisor de campo queda con la fecha o la hora desviadas de la referencia del sistema, sobre el sello de tiempo del registro capturado, en campo, sin conexión, con el reloj del dispositivo como única referencia. El sistema detecta la desviación, marca el registro y exige confirmación o corrección antes de aceptarlo, con desviaciones mayores a 5 minutos detectadas en el 100% de los casos, 0 registros sincronizados con fecha inconsistente sin marca y aviso al usuario en el momento.</t>
  </si>
  <si>
    <t>Estaba planteado como «bloquear la captura». Se replanteó como integridad del sello de tiempo, para no dejar al supervisor sin poder trabajar en campo.</t>
  </si>
  <si>
    <t>ESC-18</t>
  </si>
  <si>
    <t>Se necesita que la información capturada se conserve cuando la aplicación se cierra de manera inesperada.</t>
  </si>
  <si>
    <t>la aplicación de captura</t>
  </si>
  <si>
    <t>se cierra de manera inesperada durante una captura</t>
  </si>
  <si>
    <t>el almacén local y el estado de la captura en curso</t>
  </si>
  <si>
    <t>restaura al reabrir los datos ya diligenciados y señala qué falta</t>
  </si>
  <si>
    <t>0 registros confirmados perdidos, restauración en 5 segundos o menos al reabrir y 1 campo por rehacer como máximo</t>
  </si>
  <si>
    <t>la aplicación de captura se cierra de manera inesperada durante una captura, sobre el almacén local y el estado de la captura en curso, en campo, sin conexión. El sistema restaura al reabrir los datos ya diligenciados y señala qué falta, con 0 registros confirmados perdidos, restauración en 5 segundos o menos al reabrir y 1 campo por rehacer como máximo.</t>
  </si>
  <si>
    <t>Escenario hermano del de batería agotada. Se dejó separado porque el estímulo y la evidencia de prueba son distintos.</t>
  </si>
  <si>
    <t>ESC-19</t>
  </si>
  <si>
    <t>Se necesita evidencia periódica de que los respaldos son restaurables, no solo de que se ejecutaron.</t>
  </si>
  <si>
    <t>el operador de la plataforma (el equipo FlorLogic)</t>
  </si>
  <si>
    <t>cumple el periodo de verificación de respaldos</t>
  </si>
  <si>
    <t>los respaldos de la base de datos de cada empresa</t>
  </si>
  <si>
    <t>en operación normal, sin afectar el servicio del cliente</t>
  </si>
  <si>
    <t>restaura el respaldo en un entorno aislado, verifica su integridad y deja constancia del resultado</t>
  </si>
  <si>
    <t>1 prueba de restauración por mes y por empresa, 100% con resultado registrado y restauración completa en 1 día o menos</t>
  </si>
  <si>
    <t>el operador de la plataforma (el equipo FlorLogic) cumple el periodo de verificación de respaldos, sobre los respaldos de la base de datos de cada empresa, en operación normal, sin afectar el servicio del cliente. El sistema restaura el respaldo en un entorno aislado, verifica su integridad y deja constancia del resultado, con 1 prueba de restauración por mes y por empresa, 100% con resultado registrado y restauración completa en 1 día o menos.</t>
  </si>
  <si>
    <t>Se replanteó de «que exista una prueba» a evidencia periódica con frecuencia y tiempo objetivo, que es lo que respalda la tolerancia de 1 día.</t>
  </si>
  <si>
    <t>ESC-20</t>
  </si>
  <si>
    <t>Se necesita que un dispositivo que lleva demasiado tiempo sin sincronizar sea detectado antes de que se acumule información en riesgo.</t>
  </si>
  <si>
    <t>el monitor de sincronización del sistema</t>
  </si>
  <si>
    <t>detecta que un dispositivo superó el tiempo máximo sin sincronizar</t>
  </si>
  <si>
    <t>el registro de estado de dispositivos y el canal de notificación</t>
  </si>
  <si>
    <t>en operación normal, al cierre de jornada</t>
  </si>
  <si>
    <t>avisa al administrador de la empresa indicando el dispositivo, el usuario y cuántos registros hay en cola</t>
  </si>
  <si>
    <t>detección en 1 hora o menos desde superado el umbral, 100% de los dispositivos vencidos notificados y 0 falsos negativos en la jornada</t>
  </si>
  <si>
    <t>el monitor de sincronización del sistema detecta que un dispositivo superó el tiempo máximo sin sincronizar, sobre el registro de estado de dispositivos y el canal de notificación, en operación normal, al cierre de jornada. El sistema avisa al administrador de la empresa indicando el dispositivo, el usuario y cuántos registros hay en cola, con detección en 1 hora o menos desde superado el umbral, 100% de los dispositivos vencidos notificados y 0 falsos negativos en la jornada.</t>
  </si>
  <si>
    <t>Se replanteó como detección temprana, ligada a la tolerancia medida de 1 hora ante fallo de funcionamiento.</t>
  </si>
  <si>
    <t>ESC-21</t>
  </si>
  <si>
    <t>Se necesita que el sistema absorba el crecimiento anual del volumen de información sin cambiar de solución ni degradar la consulta.</t>
  </si>
  <si>
    <t>el crecimiento acumulado de la operación</t>
  </si>
  <si>
    <t>suma un año más de registros, incluidos los picos de temporada (+60%)</t>
  </si>
  <si>
    <t>la base de datos de la empresa y las consultas de los tableros</t>
  </si>
  <si>
    <t>en operación normal, con 5 años de historia en línea</t>
  </si>
  <si>
    <t>sigue respondiendo dentro de los mismos tiempos, sin migración ni reinstalación</t>
  </si>
  <si>
    <t>degradación máxima del 20% en el tiempo de consulta por cada año adicional, 0 migraciones de plataforma en 5 años y crecimiento absorbido sin detener el servicio</t>
  </si>
  <si>
    <t>el crecimiento acumulado de la operación suma un año más de registros, incluidos los picos de temporada (+60%), sobre la base de datos de la empresa y las consultas de los tableros, en operación normal, con 5 años de historia en línea. El sistema sigue respondiendo dentro de los mismos tiempos, sin migración ni reinstalación, con degradación máxima del 20% en el tiempo de consulta por cada año adicional, 0 migraciones de plataforma en 5 años y crecimiento absorbido sin detener el servicio.</t>
  </si>
  <si>
    <t>Se replanteó de «prever el crecimiento» a un límite de degradación medible por año, que sí se puede verificar.</t>
  </si>
  <si>
    <t>ESC-22</t>
  </si>
  <si>
    <t>Se necesita que un cambio de permisos tenga efecto de inmediato, incluso sobre sesiones ya abiertas.</t>
  </si>
  <si>
    <t>retira o cambia un permiso a un usuario que está usando el sistema</t>
  </si>
  <si>
    <t>el control de acceso y las sesiones activas</t>
  </si>
  <si>
    <t>en operación normal, con dispositivos en campo posiblemente sin conexión</t>
  </si>
  <si>
    <t>aplica el permiso nuevo en la siguiente acción del usuario conectado y en la primera sincronización del desconectado</t>
  </si>
  <si>
    <t>efecto en 1 minuto o menos en sesiones conectadas, efecto en la primera sincronización en las desconectadas y 0 acciones aceptadas con el permiso ya retirado</t>
  </si>
  <si>
    <t>un administrador de la empresa retira o cambia un permiso a un usuario que está usando el sistema, sobre el control de acceso y las sesiones activas, en operación normal, con dispositivos en campo posiblemente sin conexión. El sistema aplica el permiso nuevo en la siguiente acción del usuario conectado y en la primera sincronización del desconectado, con efecto en 1 minuto o menos en sesiones conectadas, efecto en la primera sincronización en las desconectadas y 0 acciones aceptadas con el permiso ya retirado.</t>
  </si>
  <si>
    <t>Se replanteó como latencia de propagación del permiso, incluyendo explícitamente el caso sin conexión, que el planteamiento original ignoraba.</t>
  </si>
  <si>
    <t>ESC-23</t>
  </si>
  <si>
    <t>Se necesita que una variedad nueva entre en operación por parametrización, sin desarrollo ni despliegue.</t>
  </si>
  <si>
    <t>un administrador de la empresa, con los datos aprobados por producción</t>
  </si>
  <si>
    <t>registra una variedad nueva con su densidad, su productividad esperada y sus días a corte</t>
  </si>
  <si>
    <t>el catálogo de variedades de la empresa</t>
  </si>
  <si>
    <t>en operación normal, con los dispositivos ya en campo</t>
  </si>
  <si>
    <t>deja la variedad disponible para captura y proyección tras la siguiente sincronización, sin tocar el código</t>
  </si>
  <si>
    <t>0 líneas de código y 0 despliegues, disponible en los dispositivos en un ciclo de sincronización o menos y 0 proyecciones históricas alteradas</t>
  </si>
  <si>
    <t>un administrador de la empresa, con los datos aprobados por producción registra una variedad nueva con su densidad, su productividad esperada y sus días a corte, sobre el catálogo de variedades de la empresa, en operación normal, con los dispositivos ya en campo. El sistema deja la variedad disponible para captura y proyección tras la siguiente sincronización, sin tocar el código, con 0 líneas de código y 0 despliegues, disponible en los dispositivos en un ciclo de sincronización o menos y 0 proyecciones históricas alteradas.</t>
  </si>
  <si>
    <t>Se replanteó de funcionalidad de catálogo a administrabilidad sin desarrollo. Queda abierto el dimensionamiento del catálogo (¿9 o ~300 variedades?).</t>
  </si>
  <si>
    <t>ESC-24</t>
  </si>
  <si>
    <t>Se necesita que la densidad de siembra y los parámetros de cálculo se cambien por parametrización, sin desarrollo y sin alterar lo ya proyectado.</t>
  </si>
  <si>
    <t>cambia la densidad de siembra o un parámetro del motor de proyección</t>
  </si>
  <si>
    <t>el catálogo de parámetros versionado y el motor de proyección</t>
  </si>
  <si>
    <t>en operación normal, con proyecciones ya publicadas</t>
  </si>
  <si>
    <t>aplica el cambio a los cálculos nuevos como una versión nueva de parámetros, sin modificar las proyecciones ya emitidas</t>
  </si>
  <si>
    <t>0 despliegues, 0 proyecciones históricas alteradas y versión de parámetros registrada en el 100% de los cálculos posteriores</t>
  </si>
  <si>
    <t>un administrador de la empresa, con el valor aprobado por producción cambia la densidad de siembra o un parámetro del motor de proyección, sobre el catálogo de parámetros versionado y el motor de proyección, en operación normal, con proyecciones ya publicadas. El sistema aplica el cambio a los cálculos nuevos como una versión nueva de parámetros, sin modificar las proyecciones ya emitidas, con 0 despliegues, 0 proyecciones históricas alteradas y versión de parámetros registrada en el 100% de los cálculos posteriores.</t>
  </si>
  <si>
    <t>Se replanteó junto con ESC-45 para dejar explícito que parametrizar no reescribe la historia ya publicada.</t>
  </si>
  <si>
    <t>ESC-25</t>
  </si>
  <si>
    <t>Se necesita que una versión nueva de la app de captura llegue a todos los dispositivos sin recogerlos ni interrumpir la jornada.</t>
  </si>
  <si>
    <t>el operador de la plataforma</t>
  </si>
  <si>
    <t>publica una versión nueva de la app de captura</t>
  </si>
  <si>
    <t>los dispositivos Android en campo y su mecanismo de actualización</t>
  </si>
  <si>
    <t>en operación normal, con dispositivos en campo y algunos sin conexión</t>
  </si>
  <si>
    <t>actualiza los dispositivos al reconectarse, conservando la información pendiente de sincronizar</t>
  </si>
  <si>
    <t>100% de los dispositivos actualizados en una jornada o menos tras reconectar, 0 registros pendientes perdidos en la actualización y 0 dispositivos recogidos físicamente</t>
  </si>
  <si>
    <t>el operador de la plataforma publica una versión nueva de la app de captura, sobre los dispositivos Android en campo y su mecanismo de actualización, en operación normal, con dispositivos en campo y algunos sin conexión. El sistema actualiza los dispositivos al reconectarse, conservando la información pendiente de sincronizar, con 100% de los dispositivos actualizados en una jornada o menos tras reconectar, 0 registros pendientes perdidos en la actualización y 0 dispositivos recogidos físicamente.</t>
  </si>
  <si>
    <t>Se replanteó como despliegue no disruptivo, con conservación de la cola local como condición explícita.</t>
  </si>
  <si>
    <t>ESC-26</t>
  </si>
  <si>
    <t>Se necesita que registrar una cama exija el mínimo de interacciones posible, para que la captura no vuelva a costar una hora al día.</t>
  </si>
  <si>
    <t>registra una cama completa (siembra o corte) durante el recorrido</t>
  </si>
  <si>
    <t>el formulario de captura de la app</t>
  </si>
  <si>
    <t>en campo, de pie, con una sola mano y sin conexión</t>
  </si>
  <si>
    <t>completa por defecto lo que ya conoce (cama, sección, variedad y fecha) y solo pide lo que cambia</t>
  </si>
  <si>
    <t>10 toques o menos por cama, 60 segundos o menos por cama y tiempo total de captura del supervisor de 15 minutos al día o menos, frente a la hora diaria actual</t>
  </si>
  <si>
    <t>un supervisor de campo registra una cama completa (siembra o corte) durante el recorrido, sobre el formulario de captura de la app, en campo, de pie, con una sola mano y sin conexión. El sistema completa por defecto lo que ya conoce (cama, sección, variedad y fecha) y solo pide lo que cambia, con 10 toques o menos por cama, 60 segundos o menos por cama y tiempo total de captura del supervisor de 15 minutos al día o menos, frente a la hora diaria actual.</t>
  </si>
  <si>
    <t>Se replanteó atándolo al dolor medido (1 hora/día del supervisor) para que «que sea fácil» sea verificable. Falta que el cliente confirme el tope de tiempo aceptable.</t>
  </si>
  <si>
    <t>ESC-27</t>
  </si>
  <si>
    <t>Se necesita que identificar la cama no dependa de escribir un código a mano, para eliminar el error de digitación en el campo.</t>
  </si>
  <si>
    <t>llega a una cama e inicia la captura</t>
  </si>
  <si>
    <t>el identificador físico de la cama y el lector de la app</t>
  </si>
  <si>
    <t>en campo, a sol directo y sin conexión</t>
  </si>
  <si>
    <t>identifica la cama al escanear la marca física y deja la digitación solo como alternativa</t>
  </si>
  <si>
    <t>identificación en 3 segundos o menos, 0% de error de identificación frente al 2% de error de captura actual y funcionamiento sin conexión en el 100% de los casos</t>
  </si>
  <si>
    <t>un supervisor de campo llega a una cama e inicia la captura, sobre el identificador físico de la cama y el lector de la app, en campo, a sol directo y sin conexión. El sistema identifica la cama al escanear la marca física y deja la digitación solo como alternativa, con identificación en 3 segundos o menos, 0% de error de identificación frente al 2% de error de captura actual y funcionamiento sin conexión en el 100% de los casos.</t>
  </si>
  <si>
    <t>Se replanteó de funcionalidad de escaneo a reducción medible del error de identificación, contra el 2% de error declarado por el cliente.</t>
  </si>
  <si>
    <t>ESC-28</t>
  </si>
  <si>
    <t>Se necesita que una sesión abandonada no quede disponible para otra persona.</t>
  </si>
  <si>
    <t>un usuario que deja el dispositivo o el computador sin uso</t>
  </si>
  <si>
    <t>supera el tiempo de inactividad definido</t>
  </si>
  <si>
    <t>la sesión de la app de captura y de la consola web</t>
  </si>
  <si>
    <t>en operación normal; en campo el dispositivo se comparte entre supervisores</t>
  </si>
  <si>
    <t>cierra la sesión y exige autenticarse de nuevo, conservando la captura en curso como pendiente</t>
  </si>
  <si>
    <t>cierre en 15 minutos de inactividad o menos, 0 capturas perdidas por el cierre y 100% de las sesiones afectadas, también sin conexión</t>
  </si>
  <si>
    <t>un usuario que deja el dispositivo o el computador sin uso supera el tiempo de inactividad definido, sobre la sesión de la app de captura y de la consola web, en operación normal; en campo el dispositivo se comparte entre supervisores. El sistema cierra la sesión y exige autenticarse de nuevo, conservando la captura en curso como pendiente, con cierre en 15 minutos de inactividad o menos, 0 capturas perdidas por el cierre y 100% de las sesiones afectadas, también sin conexión.</t>
  </si>
  <si>
    <t>Se replanteó agregando la condición que faltaba: el cierre de sesión no puede destruir la captura en curso, o el supervisor deja de usarlo.</t>
  </si>
  <si>
    <t>ESC-29</t>
  </si>
  <si>
    <t>Se necesita que la información de una empresa pueda ser consumida por una herramienta de análisis externa, sin abrir el acceso a la base de datos.</t>
  </si>
  <si>
    <t>un administrador de producción o un analista de la empresa</t>
  </si>
  <si>
    <t>solicita conectar una herramienta de análisis externa a los datos de su empresa</t>
  </si>
  <si>
    <t>la interfaz de salida de datos de la empresa (exportación o servicio de consulta)</t>
  </si>
  <si>
    <t>en operación normal, dentro de los límites de aislamiento por empresa</t>
  </si>
  <si>
    <t>entrega los datos de esa empresa en un formato consumible, autenticado y limitado a su ámbito</t>
  </si>
  <si>
    <t>0 accesos directos a la base de datos, 100% de las consultas limitadas a la empresa del solicitante y extracción de un año de historia en 10 minutos o menos</t>
  </si>
  <si>
    <t>un administrador de producción o un analista de la empresa solicita conectar una herramienta de análisis externa a los datos de su empresa, sobre la interfaz de salida de datos de la empresa (exportación o servicio de consulta), en operación normal, dentro de los límites de aislamiento por empresa. El sistema entrega los datos de esa empresa en un formato consumible, autenticado y limitado a su ámbito, con 0 accesos directos a la base de datos, 100% de las consultas limitadas a la empresa del solicitante y extracción de un año de historia en 10 minutos o menos.</t>
  </si>
  <si>
    <t>El cliente lo pidió nombrando Power BI, pero la decisión vigente excluye integrarse con Power BI. Se replanteó como capacidad de salida de datos, sin comprometer una integración concreta.</t>
  </si>
  <si>
    <t>ESC-30</t>
  </si>
  <si>
    <t>Se necesita que un problema reportado se pueda diagnosticar de forma remota, sin desplazarse hasta la finca y sin ver los datos de negocio.</t>
  </si>
  <si>
    <t>recibe el reporte de un fallo en un dispositivo o en la sincronización</t>
  </si>
  <si>
    <t>los registros de operación, la telemetría y el estado de sincronización</t>
  </si>
  <si>
    <t>en soporte remoto, con la finca a horas de distancia</t>
  </si>
  <si>
    <t>permite identificar la causa con la información de operación disponible, sin acceder al contenido de producción del cliente</t>
  </si>
  <si>
    <t>causa identificada en 4 horas o menos en el 80% de los casos, 0 desplazamientos para diagnóstico y 0 accesos a datos de negocio del cliente</t>
  </si>
  <si>
    <t>el operador de la plataforma recibe el reporte de un fallo en un dispositivo o en la sincronización, sobre los registros de operación, la telemetría y el estado de sincronización, en soporte remoto, con la finca a horas de distancia. El sistema permite identificar la causa con la información de operación disponible, sin acceder al contenido de producción del cliente, con causa identificada en 4 horas o menos en el 80% de los casos, 0 desplazamientos para diagnóstico y 0 accesos a datos de negocio del cliente.</t>
  </si>
  <si>
    <t>Se replanteó agregando la restricción de aislamiento entre empresas (ADR-003): soporte remoto sí, lectura de los datos del cliente no.</t>
  </si>
  <si>
    <t>ESC-31</t>
  </si>
  <si>
    <t>Se necesita conocer de forma remota el estado de cualquier dispositivo de captura: versión, última sincronización, registros en cola y almacenamiento.</t>
  </si>
  <si>
    <t>un administrador de la empresa o el operador de la plataforma</t>
  </si>
  <si>
    <t>consulta el estado de un dispositivo</t>
  </si>
  <si>
    <t>el panel de estado de dispositivos</t>
  </si>
  <si>
    <t>en operación normal, con el dispositivo posiblemente en campo y sin conexión</t>
  </si>
  <si>
    <t>muestra el último estado conocido junto con su antigüedad, sin requerir que el dispositivo esté conectado</t>
  </si>
  <si>
    <t>estado disponible para el 100% de los dispositivos registrados, antigüedad del dato siempre visible y consulta en 5 segundos o menos</t>
  </si>
  <si>
    <t>un administrador de la empresa o el operador de la plataforma consulta el estado de un dispositivo, sobre el panel de estado de dispositivos, en operación normal, con el dispositivo posiblemente en campo y sin conexión. El sistema muestra el último estado conocido junto con su antigüedad, sin requerir que el dispositivo esté conectado, con estado disponible para el 100% de los dispositivos registrados, antigüedad del dato siempre visible y consulta en 5 segundos o menos.</t>
  </si>
  <si>
    <t>Se replanteó exigiendo que el dato muestre su propia antigüedad, porque en campo el dispositivo puede llevar horas sin reportar.</t>
  </si>
  <si>
    <t>ESC-32</t>
  </si>
  <si>
    <t>Se necesita que la app de captura funcione en los dispositivos Android que la finca ya tiene, sin exigir renovar el parque.</t>
  </si>
  <si>
    <t>instala y usa la app en un dispositivo Android existente de la finca</t>
  </si>
  <si>
    <t>en dispositivos de gama de entrada ya en uso en la finca, sin conexión</t>
  </si>
  <si>
    <t>se instala y opera con todas sus funciones de captura en las versiones de Android soportadas</t>
  </si>
  <si>
    <t>soporte declarado desde una versión mínima de Android definida, 100% de las funciones de captura operativas en el dispositivo de menor gama del parque y 0 dispositivos nuevos exigidos para el piloto</t>
  </si>
  <si>
    <t>un supervisor de campo instala y usa la app en un dispositivo Android existente de la finca, sobre la aplicación de captura, en dispositivos de gama de entrada ya en uso en la finca, sin conexión. El sistema se instala y opera con todas sus funciones de captura en las versiones de Android soportadas, con soporte declarado desde una versión mínima de Android definida, 100% de las funciones de captura operativas en el dispositivo de menor gama del parque y 0 dispositivos nuevos exigidos para el piloto.</t>
  </si>
  <si>
    <t>Se replanteó de «funcionar en Android» a compatibilidad con el parque existente, que es la restricción real dado el presupuesto del proyecto.</t>
  </si>
  <si>
    <t>ESC-33</t>
  </si>
  <si>
    <t>Se necesita poder verificar la consistencia de lo capturado al cierre de la jornada, a nivel de finca, antes de que alimente la proyección.</t>
  </si>
  <si>
    <t>cierra la jornada una vez sincronizada toda la captura del día</t>
  </si>
  <si>
    <t>el consolidado de la jornada por finca</t>
  </si>
  <si>
    <t>al cierre de jornada, con los 3 dispositivos sincronizados</t>
  </si>
  <si>
    <t>presenta el consolidado señalando las inconsistencias (camas faltantes, valores atípicos, duplicados) antes de alimentar la proyección</t>
  </si>
  <si>
    <t>consolidado disponible en 1 hora o menos desde el cierre, 100% de las camas esperadas contrastadas contra las capturadas y 0 inconsistencias pasando sin marcar</t>
  </si>
  <si>
    <t>un administrador de producción cierra la jornada una vez sincronizada toda la captura del día, sobre el consolidado de la jornada por finca, al cierre de jornada, con los 3 dispositivos sincronizados. El sistema presenta el consolidado señalando las inconsistencias (camas faltantes, valores atípicos, duplicados) antes de alimentar la proyección, con consolidado disponible en 1 hora o menos desde el cierre, 100% de las camas esperadas contrastadas contra las capturadas y 0 inconsistencias pasando sin marcar.</t>
  </si>
  <si>
    <t>Se replanteó de «verificar agrupando» a un control de cierre de jornada con criterio explícito de completitud.</t>
  </si>
  <si>
    <t>ESC-34</t>
  </si>
  <si>
    <t>Se necesita que una cama capturada dos veces el mismo día sea detectada, aunque las capturas vengan de dispositivos distintos y sin conexión.</t>
  </si>
  <si>
    <t>dos supervisores de campo capturando por separado</t>
  </si>
  <si>
    <t>registran la misma cama el mismo día en dispositivos distintos y sin conexión</t>
  </si>
  <si>
    <t>la detección de duplicados en la sincronización</t>
  </si>
  <si>
    <t>al cierre de jornada, con las capturas hechas sin conexión en dispositivos distintos</t>
  </si>
  <si>
    <t>detecta el conflicto, conserva ambas versiones y pide resolución antes de consolidar</t>
  </si>
  <si>
    <t>100% de los duplicados detectados, 0 registros descartados automáticamente y conflicto notificado en 1 hora o menos desde la sincronización</t>
  </si>
  <si>
    <t>dos supervisores de campo capturando por separado registran la misma cama el mismo día en dispositivos distintos y sin conexión, sobre la detección de duplicados en la sincronización, al cierre de jornada, con las capturas hechas sin conexión en dispositivos distintos. El sistema detecta el conflicto, conserva ambas versiones y pide resolución antes de consolidar, con 100% de los duplicados detectados, 0 registros descartados automáticamente y conflicto notificado en 1 hora o menos desde la sincronización.</t>
  </si>
  <si>
    <t>Se replanteó para cubrir el caso multi-dispositivo sin conexión. Sigue abierto confirmar con el cliente si dos personas pueden capturar la misma cama.</t>
  </si>
  <si>
    <t>ESC-35</t>
  </si>
  <si>
    <t>Se necesita que el dispositivo avise antes de quedarse sin almacenamiento, para que la falta de espacio nunca cause pérdida de datos.</t>
  </si>
  <si>
    <t>la app de captura</t>
  </si>
  <si>
    <t>detecta que el almacenamiento libre del dispositivo bajó del umbral definido</t>
  </si>
  <si>
    <t>el almacén local y la cola de sincronización</t>
  </si>
  <si>
    <t>en campo, sin conexión, en una jornada larga sin sincronizar</t>
  </si>
  <si>
    <t>avisa al supervisor y al administrador y protege la cola pendiente antes que cualquier otro dato</t>
  </si>
  <si>
    <t>aviso con al menos 1 jornada de captura de margen, 0 registros perdidos por falta de espacio y aviso repetido hasta que se resuelva</t>
  </si>
  <si>
    <t>la app de captura detecta que el almacenamiento libre del dispositivo bajó del umbral definido, sobre el almacén local y la cola de sincronización, en campo, sin conexión, en una jornada larga sin sincronizar. El sistema avisa al supervisor y al administrador y protege la cola pendiente antes que cualquier otro dato, con aviso con al menos 1 jornada de captura de margen, 0 registros perdidos por falta de espacio y aviso repetido hasta que se resuelva.</t>
  </si>
  <si>
    <t>Se replanteó atándolo a la tolerancia de pérdida cero, no solo al hecho de avisar.</t>
  </si>
  <si>
    <t>ESC-36</t>
  </si>
  <si>
    <t>Se necesita que confirmar un dato en el dispositivo no tenga espera perceptible, aun con la cola local llena.</t>
  </si>
  <si>
    <t>confirma un dato de la captura</t>
  </si>
  <si>
    <t>el almacén local de la app</t>
  </si>
  <si>
    <t>en campo, sin conexión, con la cola acumulada de una jornada</t>
  </si>
  <si>
    <t>persiste el dato localmente y responde de inmediato en la interfaz</t>
  </si>
  <si>
    <t>200 ms o menos percibidos en el 95% de las confirmaciones, 1 segundo o menos en el 99% y sin degradación con la cola de una jornada completa</t>
  </si>
  <si>
    <t>un supervisor de campo confirma un dato de la captura, sobre el almacén local de la app, en campo, sin conexión, con la cola acumulada de una jornada. El sistema persiste el dato localmente y responde de inmediato en la interfaz, con 200 ms o menos percibidos en el 95% de las confirmaciones, 1 segundo o menos en el 99% y sin degradación con la cola de una jornada completa.</t>
  </si>
  <si>
    <t>Se replanteó dando el número que hace verificable «sin espera perceptible».</t>
  </si>
  <si>
    <t>ESC-37</t>
  </si>
  <si>
    <t>Se necesita que la navegación entre pantallas de captura sea inmediata sin conexión, sin esperar a la red.</t>
  </si>
  <si>
    <t>pasa de una pantalla de captura a la siguiente</t>
  </si>
  <si>
    <t>la interfaz de la app de captura y su catálogo local</t>
  </si>
  <si>
    <t>muestra la pantalla siguiente con los datos del catálogo local, sin ninguna llamada a la red</t>
  </si>
  <si>
    <t>300 ms o menos en el 95% de las transiciones, 0 llamadas a red en el flujo de captura y comportamiento idéntico con y sin conexión</t>
  </si>
  <si>
    <t>un supervisor de campo pasa de una pantalla de captura a la siguiente, sobre la interfaz de la app de captura y su catálogo local, en campo, sin conexión. El sistema muestra la pantalla siguiente con los datos del catálogo local, sin ninguna llamada a la red, con 300 ms o menos en el 95% de las transiciones, 0 llamadas a red en el flujo de captura y comportamiento idéntico con y sin conexión.</t>
  </si>
  <si>
    <t>Se replanteó exigiendo que el flujo de captura no dependa de la red en ningún paso, no solo que «sea rápido».</t>
  </si>
  <si>
    <t>ESC-38</t>
  </si>
  <si>
    <t>Se necesita que la sincronización simultánea al cierre de jornada no degrade el sistema, incluso en temporada alta.</t>
  </si>
  <si>
    <t>los dispositivos de captura de la finca</t>
  </si>
  <si>
    <t>sincronizan todos a la vez al terminar la jornada</t>
  </si>
  <si>
    <t>el servicio de sincronización y la base de datos de cada empresa</t>
  </si>
  <si>
    <t>al cierre de jornada en temporada alta (+60% de registros y +30 a 40% de personal)</t>
  </si>
  <si>
    <t>procesa todas las colas sin rechazar registros ni perder el orden</t>
  </si>
  <si>
    <t>0 registros rechazados o perdidos, sincronización completa de la jornada en 30 minutos o menos y degradación máxima del 20% frente a temporada normal</t>
  </si>
  <si>
    <t>los dispositivos de captura de la finca sincronizan todos a la vez al terminar la jornada, sobre el servicio de sincronización y la base de datos de cada empresa, al cierre de jornada en temporada alta (+60% de registros y +30 a 40% de personal). El sistema procesa todas las colas sin rechazar registros ni perder el orden, con 0 registros rechazados o perdidos, sincronización completa de la jornada en 30 minutos o menos y degradación máxima del 20% frente a temporada normal.</t>
  </si>
  <si>
    <t>Se replanteó tomando el pico de temporada como entorno, que es cuando la carga concurrente es real.</t>
  </si>
  <si>
    <t>ESC-39</t>
  </si>
  <si>
    <t>Se necesita que cualquier cifra de un reporte se pueda descomponer hasta los registros individuales que la formaron.</t>
  </si>
  <si>
    <t>selecciona una cifra de un tablero o reporte y pide su composición</t>
  </si>
  <si>
    <t>el tablero, el reporte y los registros de captura que lo alimentan</t>
  </si>
  <si>
    <t>en operación normal, sobre la historia en línea</t>
  </si>
  <si>
    <t>desglosa la cifra hasta el registro de cama y sección, con autor y fecha</t>
  </si>
  <si>
    <t>trazabilidad completa en 3 niveles de navegación o menos, 100% de las cifras descomponibles y desglose en 5 segundos o menos</t>
  </si>
  <si>
    <t>un administrador de producción selecciona una cifra de un tablero o reporte y pide su composición, sobre el tablero, el reporte y los registros de captura que lo alimentan, en operación normal, sobre la historia en línea. El sistema desglosa la cifra hasta el registro de cama y sección, con autor y fecha, con trazabilidad completa en 3 niveles de navegación o menos, 100% de las cifras descomponibles y desglose en 5 segundos o menos.</t>
  </si>
  <si>
    <t>Se replanteó de una consulta a la propiedad de trazabilidad de extremo a extremo, desde el tablero hasta la cama.</t>
  </si>
  <si>
    <t>ESC-40</t>
  </si>
  <si>
    <t>Se necesita que la bitácora de lo ocurrido no pueda ser alterada ni borrada por nadie, incluido el operador de la plataforma.</t>
  </si>
  <si>
    <t>cualquier usuario, incluido el operador de la plataforma</t>
  </si>
  <si>
    <t>intenta modificar o borrar una entrada de la bitácora</t>
  </si>
  <si>
    <t>la bitácora de eventos del sistema</t>
  </si>
  <si>
    <t>en operación normal y también durante mantenimiento o soporte</t>
  </si>
  <si>
    <t>impide la operación y registra el intento</t>
  </si>
  <si>
    <t>0 entradas modificadas o borradas, 100% de los intentos registrados e integridad de la bitácora verificable en cada respaldo</t>
  </si>
  <si>
    <t>cualquier usuario, incluido el operador de la plataforma intenta modificar o borrar una entrada de la bitácora, sobre la bitácora de eventos del sistema, en operación normal y también durante mantenimiento o soporte. El sistema impide la operación y registra el intento, con 0 entradas modificadas o borradas, 100% de los intentos registrados e integridad de la bitácora verificable en cada respaldo.</t>
  </si>
  <si>
    <t>Se replanteó incluyendo al operador de la plataforma, que es el caso difícil cuando el proveedor opera la instalación del cliente, y el que el planteamiento original dejaba fuera.</t>
  </si>
  <si>
    <t>ESC-41</t>
  </si>
  <si>
    <t>Se necesita que la información de los últimos cinco años esté disponible en línea, sin restaurar respaldos.</t>
  </si>
  <si>
    <t>consulta información de hasta cinco años atrás</t>
  </si>
  <si>
    <t>el almacenamiento en línea de la empresa</t>
  </si>
  <si>
    <t>responde con los datos históricos sin pedir restauración ni intervención del operador</t>
  </si>
  <si>
    <t>5 años de historia consultables en línea, 0 solicitudes de restauración para consultas dentro de ese rango y respuesta en 10 segundos o menos</t>
  </si>
  <si>
    <t>un administrador de producción consulta información de hasta cinco años atrás, sobre el almacenamiento en línea de la empresa, en operación normal, desde la consulta web. El sistema responde con los datos históricos sin pedir restauración ni intervención del operador, con 5 años de historia consultables en línea, 0 solicitudes de restauración para consultas dentro de ese rango y respuesta en 10 segundos o menos.</t>
  </si>
  <si>
    <t>Se replanteó como disponibilidad de la historia, no como política interna de almacenamiento.</t>
  </si>
  <si>
    <t>ESC-42</t>
  </si>
  <si>
    <t>Se acepta que la información más antigua que el rango en línea tarde más en consultarse, siempre que siga siendo obtenible sin pérdida.</t>
  </si>
  <si>
    <t>consulta información anterior al rango en línea</t>
  </si>
  <si>
    <t>el almacenamiento histórico frío de la empresa</t>
  </si>
  <si>
    <t>en operación normal, en una consulta esporádica</t>
  </si>
  <si>
    <t>acepta la consulta, avisa que tomará más tiempo y entrega el resultado cuando esté disponible</t>
  </si>
  <si>
    <t>entrega en 1 día o menos, 0 datos perdidos por antigüedad y usuario siempre informado del tiempo estimado</t>
  </si>
  <si>
    <t>un administrador de producción consulta información anterior al rango en línea, sobre el almacenamiento histórico frío de la empresa, en operación normal, en una consulta esporádica. El sistema acepta la consulta, avisa que tomará más tiempo y entrega el resultado cuando esté disponible, con entrega en 1 día o menos, 0 datos perdidos por antigüedad y usuario siempre informado del tiempo estimado.</t>
  </si>
  <si>
    <t>Es una concesión del cliente, no una exigencia. Se documentó como el escenario que permite acotar el costo de ESC-43.</t>
  </si>
  <si>
    <t>ESC-43</t>
  </si>
  <si>
    <t>Se necesita que el costo de almacenamiento por finca se mantenga acotado a medida que crece la historia.</t>
  </si>
  <si>
    <t>observa que la historia de una empresa creció un año más</t>
  </si>
  <si>
    <t>el almacenamiento en línea e histórico de esa empresa</t>
  </si>
  <si>
    <t>en la operación local-first, con una instalación por empresa, bajo el presupuesto de ~20.000 USD de construcción y puesta en marcha</t>
  </si>
  <si>
    <t>mueve automáticamente lo más antiguo a almacenamiento de menor costo, conservándolo obtenible</t>
  </si>
  <si>
    <t>crecimiento del costo por finca sublineal frente al crecimiento de datos, 0 datos eliminados y movimiento automático sin intervención manual</t>
  </si>
  <si>
    <t>el operador de la plataforma observa que la historia de una empresa creció un año más, sobre el almacenamiento en línea e histórico de esa empresa, en la operación local-first, con una instalación por empresa, bajo el presupuesto de ~20.000 USD de construcción y puesta en marcha. El sistema mueve automáticamente lo más antiguo a almacenamiento de menor costo, conservándolo obtenible, con crecimiento del costo por finca sublineal frente al crecimiento de datos, 0 datos eliminados y movimiento automático sin intervención manual.</t>
  </si>
  <si>
    <t>Se replanteó como escenario del operador, que es quien paga el almacenamiento, apoyado en la concesión de ESC-42.</t>
  </si>
  <si>
    <t>ESC-44</t>
  </si>
  <si>
    <t>Se necesita que los grados de calidad y sus definiciones se cambien por parametrización, sin desarrollo y sin invalidar lo ya registrado.</t>
  </si>
  <si>
    <t>un administrador de la empresa, con la definición aprobada por producción</t>
  </si>
  <si>
    <t>agrega o redefine un grado de calidad</t>
  </si>
  <si>
    <t>el catálogo de grados versionado</t>
  </si>
  <si>
    <t>en operación normal, con registros históricos tomados con la definición anterior</t>
  </si>
  <si>
    <t>deja el grado nuevo disponible para la captura siguiente y conserva en los registros anteriores la definición con que se tomaron</t>
  </si>
  <si>
    <t>0 despliegues, disponible en los dispositivos en un ciclo de sincronización o menos y 100% de los registros históricos conservando su versión de grado</t>
  </si>
  <si>
    <t>un administrador de la empresa, con la definición aprobada por producción agrega o redefine un grado de calidad, sobre el catálogo de grados versionado, en operación normal, con registros históricos tomados con la definición anterior. El sistema deja el grado nuevo disponible para la captura siguiente y conserva en los registros anteriores la definición con que se tomaron, con 0 despliegues, disponible en los dispositivos en un ciclo de sincronización o menos y 100% de los registros históricos conservando su versión de grado.</t>
  </si>
  <si>
    <t>Se replanteó para que un cambio de catálogo no reinterprete la historia. Sigue pendiente la tabla de grados real de la finca.</t>
  </si>
  <si>
    <t>ESC-45</t>
  </si>
  <si>
    <t>Se necesita que un cambio de parámetros no altere las proyecciones ya emitidas.</t>
  </si>
  <si>
    <t>cambia un parámetro del motor de proyección</t>
  </si>
  <si>
    <t>las proyecciones ya publicadas y el catálogo de parámetros versionado</t>
  </si>
  <si>
    <t>en operación normal, con proyecciones semanales publicadas</t>
  </si>
  <si>
    <t>aplica el parámetro solo a los cálculos nuevos y conserva intactas las versiones publicadas</t>
  </si>
  <si>
    <t>0 proyecciones publicadas modificadas, 100% de las proyecciones con su versión de parámetros y comparación de desviación siempre contra la versión vigente</t>
  </si>
  <si>
    <t>un administrador de la empresa cambia un parámetro del motor de proyección, sobre las proyecciones ya publicadas y el catálogo de parámetros versionado, en operación normal, con proyecciones semanales publicadas. El sistema aplica el parámetro solo a los cálculos nuevos y conserva intactas las versiones publicadas, con 0 proyecciones publicadas modificadas, 100% de las proyecciones con su versión de parámetros y comparación de desviación siempre contra la versión vigente.</t>
  </si>
  <si>
    <t>Es el complemento de ESC-24 y la condición para que la desviación de ESC-10 sea confiable.</t>
  </si>
  <si>
    <t>ESC-46</t>
  </si>
  <si>
    <t>Se necesita poder forzar de forma remota la sincronización de un dispositivo, sin ir a buscarlo al campo.</t>
  </si>
  <si>
    <t>ordena la sincronización de un dispositivo con registros pendientes</t>
  </si>
  <si>
    <t>el dispositivo de captura y el servicio de sincronización</t>
  </si>
  <si>
    <t>en operación normal, con conexión intermitente en el dispositivo</t>
  </si>
  <si>
    <t>sincroniza el dispositivo en cuanto tenga conexión, sin que el supervisor haga nada</t>
  </si>
  <si>
    <t>orden ejecutada en 5 minutos o menos desde que el dispositivo tiene conexión, 100% de los registros pendientes entregados y 0 desplazamientos al campo</t>
  </si>
  <si>
    <t>un administrador de la empresa ordena la sincronización de un dispositivo con registros pendientes, sobre el dispositivo de captura y el servicio de sincronización, en operación normal, con conexión intermitente en el dispositivo. El sistema sincroniza el dispositivo en cuanto tenga conexión, sin que el supervisor haga nada, con orden ejecutada en 5 minutos o menos desde que el dispositivo tiene conexión, 100% de los registros pendientes entregados y 0 desplazamientos al campo.</t>
  </si>
  <si>
    <t>Se replanteó como orden diferida, porque el dispositivo puede estar sin cobertura en el momento de emitirla.</t>
  </si>
  <si>
    <t>ESC-47</t>
  </si>
  <si>
    <t>Se necesita que el supervisor sepa en todo momento, sin preguntarle a nadie, qué información ya está a salvo en el servidor y cuál sigue solo en el dispositivo.</t>
  </si>
  <si>
    <t>revisa lo capturado durante la jornada o al terminarla</t>
  </si>
  <si>
    <t>el indicador de estado de sincronización de la app</t>
  </si>
  <si>
    <t>en campo, con conexión intermitente</t>
  </si>
  <si>
    <t>muestra por registro y en total cuántos están sincronizados y cuántos pendientes, y desde cuándo</t>
  </si>
  <si>
    <t>estado visible sin navegar (1 toque o menos), 100% de los registros con estado correcto y 0 casos de registro mostrado como sincronizado sin estarlo</t>
  </si>
  <si>
    <t>un supervisor de campo revisa lo capturado durante la jornada o al terminarla, sobre el indicador de estado de sincronización de la app, en campo, con conexión intermitente. El sistema muestra por registro y en total cuántos están sincronizados y cuántos pendientes, y desde cuándo, con estado visible sin navegar (1 toque o menos), 100% de los registros con estado correcto y 0 casos de registro mostrado como sincronizado sin estarlo.</t>
  </si>
  <si>
    <t>Se replanteó como confianza del usuario en el estado del dato, que es lo que sostiene la adopción frente a la resistencia al cambio.</t>
  </si>
  <si>
    <t>ESC-48</t>
  </si>
  <si>
    <t>Se necesita que los nombres en pantalla sean exactamente los que se usan hablando en la finca, para que nadie tenga que traducir mientras captura.</t>
  </si>
  <si>
    <t>busca una cama, un bloque, una variedad o un grado en la app</t>
  </si>
  <si>
    <t>el catálogo de nombres de la empresa (bloques, naves, camas, variedades y grados)</t>
  </si>
  <si>
    <t>en campo, sin conexión, y también en la consulta web</t>
  </si>
  <si>
    <t>muestra la nomenclatura propia de esa empresa, parametrizable, sin nombres técnicos ni códigos internos</t>
  </si>
  <si>
    <t>100% de los términos validados contra el glosario de la finca, 0 términos técnicos visibles al supervisor y nomenclatura configurable por empresa sin desarrollo</t>
  </si>
  <si>
    <t>un supervisor de campo busca una cama, un bloque, una variedad o un grado en la app, sobre el catálogo de nombres de la empresa (bloques, naves, camas, variedades y grados), en campo, sin conexión, y también en la consulta web. El sistema muestra la nomenclatura propia de esa empresa, parametrizable, sin nombres técnicos ni códigos internos, con 100% de los términos validados contra el glosario de la finca, 0 términos técnicos visibles al supervisor y nomenclatura configurable por empresa sin desarrollo.</t>
  </si>
  <si>
    <t>Se replanteó como requisito de nomenclatura por empresa, que es lo que lo hace exigible en un producto multi-tenant.</t>
  </si>
  <si>
    <t>ESC-49</t>
  </si>
  <si>
    <t>Se necesita que toda acción quede atribuida a una persona identificable, sin usuarios compartidos.</t>
  </si>
  <si>
    <t>un supervisor de campo o cualquier otro usuario</t>
  </si>
  <si>
    <t>entra al sistema y captura o modifica información</t>
  </si>
  <si>
    <t>las identidades de usuario y la bitácora de acciones</t>
  </si>
  <si>
    <t>en campo, con dispositivos que se comparten entre supervisores</t>
  </si>
  <si>
    <t>exige identificación individual, también sin conexión, y atribuye cada registro a su autor</t>
  </si>
  <si>
    <t>0 usuarios compartidos activos, 100% de los registros con autor identificado y autenticación posible sin conexión</t>
  </si>
  <si>
    <t>un supervisor de campo o cualquier otro usuario entra al sistema y captura o modifica información, sobre las identidades de usuario y la bitácora de acciones, en campo, con dispositivos que se comparten entre supervisores. El sistema exige identificación individual, también sin conexión, y atribuye cada registro a su autor, con 0 usuarios compartidos activos, 100% de los registros con autor identificado y autenticación posible sin conexión.</t>
  </si>
  <si>
    <t>Se replanteó como atribución de acciones, cubriendo el caso real de dispositivo compartido y sin conexión.</t>
  </si>
  <si>
    <t>ESC-50</t>
  </si>
  <si>
    <t>Se necesita que quien opera la plataforma pueda mantener el servicio sin poder leer la información de producción de una empresa.</t>
  </si>
  <si>
    <t>ejecuta una tarea de operación (respaldo, restauración, despliegue o diagnóstico)</t>
  </si>
  <si>
    <t>la base de datos de la empresa y sus respaldos cifrados</t>
  </si>
  <si>
    <t>en la operación normal de la instalación de cada empresa, con clientes que compiten entre sí</t>
  </si>
  <si>
    <t>permite la tarea sin exponer el contenido de negocio y registra todo acceso</t>
  </si>
  <si>
    <t>0 accesos a datos de negocio en operación normal, 100% de los accesos excepcionales registrados y autorizados y respaldos cifrados en el 100% de los casos</t>
  </si>
  <si>
    <t>el operador de la plataforma (el equipo FlorLogic) ejecuta una tarea de operación (respaldo, restauración, despliegue o diagnóstico), sobre la base de datos de la empresa y sus respaldos cifrados, en la operación normal de la instalación de cada empresa, con clientes que compiten entre sí. El sistema permite la tarea sin exponer el contenido de negocio y registra todo acceso, con 0 accesos a datos de negocio en operación normal, 100% de los accesos excepcionales registrados y autorizados y respaldos cifrados en el 100% de los casos.</t>
  </si>
  <si>
    <t>Es el escenario que obliga a decidir de quién es la clave de cifrado de los respaldos. Se dejó explícito porque también va al contrato.</t>
  </si>
  <si>
    <t>ESC-51</t>
  </si>
  <si>
    <t>Se necesita que cualquier consulta o reporte se pueda llevar a Excel sin pedirlo a nadie y sin perder el detalle.</t>
  </si>
  <si>
    <t>exporta el resultado de una consulta o un reporte</t>
  </si>
  <si>
    <t>los reportes y tableros del sistema</t>
  </si>
  <si>
    <t>entrega el archivo con los mismos datos y el mismo detalle que muestra en pantalla</t>
  </si>
  <si>
    <t>exportación disponible en el 100% de los reportes, archivo generado en 30 segundos o menos para un año de datos y 0 diferencias entre lo mostrado y lo exportado</t>
  </si>
  <si>
    <t>un administrador de producción exporta el resultado de una consulta o un reporte, sobre los reportes y tableros del sistema, en operación normal, desde la consulta web. El sistema entrega el archivo con los mismos datos y el mismo detalle que muestra en pantalla, con exportación disponible en el 100% de los reportes, archivo generado en 30 segundos o menos para un año de datos y 0 diferencias entre lo mostrado y lo exportado.</t>
  </si>
  <si>
    <t>Se replanteó de funcionalidad a equivalencia verificable entre lo que se ve en pantalla y lo que sale en el archivo.</t>
  </si>
  <si>
    <t>ESC-52</t>
  </si>
  <si>
    <t>Se necesita que agregar una finca nueva sea parametrización y no un proyecto de instalación.</t>
  </si>
  <si>
    <t>da de alta una finca nueva de una empresa ya existente</t>
  </si>
  <si>
    <t>la estructura de la empresa (fincas, bloques, naves, camas y secciones)</t>
  </si>
  <si>
    <t>en operación normal, sin detener a las fincas existentes</t>
  </si>
  <si>
    <t>deja la finca operativa con su catálogo y sus usuarios, sin reinstalar ni reconfigurar el sistema</t>
  </si>
  <si>
    <t>alta completa en 1 día o menos, 0 reinstalaciones y 0 minutos de interrupción para las fincas existentes</t>
  </si>
  <si>
    <t>un administrador de la empresa o el operador de la plataforma da de alta una finca nueva de una empresa ya existente, sobre la estructura de la empresa (fincas, bloques, naves, camas y secciones), en operación normal, sin detener a las fincas existentes. El sistema deja la finca operativa con su catálogo y sus usuarios, sin reinstalar ni reconfigurar el sistema, con alta completa en 1 día o menos, 0 reinstalaciones y 0 minutos de interrupción para las fincas existentes.</t>
  </si>
  <si>
    <t>Se replanteó como escalabilidad horizontal dentro de una empresa, distinta del alta de un cliente nuevo, que en el modelo local-first es una instalación aparte (ADR-001, ADR-016).</t>
  </si>
  <si>
    <t>ESC-53</t>
  </si>
  <si>
    <t>Se necesita que los problemas corrientes del día a día los resuelva el administrador de la empresa dentro de la finca, sin escalar al equipo FlorLogic.</t>
  </si>
  <si>
    <t>enfrenta un problema corriente (usuario bloqueado, dispositivo sin sincronizar, parámetro mal cargado)</t>
  </si>
  <si>
    <t>la consola de administración y su documentación de operación</t>
  </si>
  <si>
    <t>en operación normal, sin soporte del proveedor disponible de inmediato</t>
  </si>
  <si>
    <t>le entrega el diagnóstico y la acción correctiva para resolverlo sin escalar</t>
  </si>
  <si>
    <t>80% o más de los incidentes corrientes resueltos dentro de la finca, resolución en 1 hora o menos y escalamiento solo en el 20% restante</t>
  </si>
  <si>
    <t>un administrador de la empresa enfrenta un problema corriente (usuario bloqueado, dispositivo sin sincronizar, parámetro mal cargado), sobre la consola de administración y su documentación de operación, en operación normal, sin soporte del proveedor disponible de inmediato. El sistema le entrega el diagnóstico y la acción correctiva para resolverlo sin escalar, con 80% o más de los incidentes corrientes resueltos dentro de la finca, resolución en 1 hora o menos y escalamiento solo en el 20% restante.</t>
  </si>
  <si>
    <t>Estaba planteado como una condición organizacional («que exista alguien»). Se replanteó como propiedad del sistema: que la consola haga posible resolverlo dentro de la finca.</t>
  </si>
  <si>
    <t>ESC-54</t>
  </si>
  <si>
    <t>Se necesita poder reemplazar un dispositivo sin perder la información que todavía no se ha sincronizado.</t>
  </si>
  <si>
    <t>un supervisor de campo cuyo dispositivo se dañó o se perdió</t>
  </si>
  <si>
    <t>pasa a un dispositivo nuevo con registros pendientes en el anterior</t>
  </si>
  <si>
    <t>la cola local de sincronización y la identidad del usuario</t>
  </si>
  <si>
    <t>en campo o al cierre de jornada, con el dispositivo anterior posiblemente inaccesible</t>
  </si>
  <si>
    <t>recupera o reconstruye la información pendiente en el dispositivo nuevo, o deja constancia explícita de lo que no pudo recuperarse</t>
  </si>
  <si>
    <t>0 registros perdidos si el dispositivo anterior es accesible, reposición operativa en 1 hora o menos y 100% de los registros no recuperables reportados de forma explícita</t>
  </si>
  <si>
    <t>un supervisor de campo cuyo dispositivo se dañó o se perdió pasa a un dispositivo nuevo con registros pendientes en el anterior, sobre la cola local de sincronización y la identidad del usuario, en campo o al cierre de jornada, con el dispositivo anterior posiblemente inaccesible. El sistema recupera o reconstruye la información pendiente en el dispositivo nuevo, o deja constancia explícita de lo que no pudo recuperarse, con 0 registros perdidos si el dispositivo anterior es accesible, reposición operativa en 1 hora o menos y 100% de los registros no recuperables reportados de forma explícita.</t>
  </si>
  <si>
    <t>Se replanteó reconociendo el caso límite (dispositivo destruido), para no prometer pérdida cero donde no es alcanzable.</t>
  </si>
  <si>
    <t>ESC-55</t>
  </si>
  <si>
    <t>Se necesita que una captura incompleta se pueda guardar y retomar sin quedar contabilizada como dato válido.</t>
  </si>
  <si>
    <t>debe interrumpir la captura de una cama antes de completarla</t>
  </si>
  <si>
    <t>el registro de captura y su estado (pendiente o confirmado)</t>
  </si>
  <si>
    <t>guarda lo diligenciado, lo marca como pendiente y lo excluye de la proyección hasta completarlo</t>
  </si>
  <si>
    <t>0 registros pendientes alimentando la proyección, 100% de los pendientes visibles al supervisor y al administrador y retomable en 2 toques o menos</t>
  </si>
  <si>
    <t>un supervisor de campo debe interrumpir la captura de una cama antes de completarla, sobre el registro de captura y su estado (pendiente o confirmado), en campo, sin conexión. El sistema guarda lo diligenciado, lo marca como pendiente y lo excluye de la proyección hasta completarlo, con 0 registros pendientes alimentando la proyección, 100% de los pendientes visibles al supervisor y al administrador y retomable en 2 toques o menos.</t>
  </si>
  <si>
    <t>Se replanteó agregando lo que faltaba en el planteamiento original: que «pendiente» no contamine el cálculo de la proyección.</t>
  </si>
  <si>
    <t>ESC-56</t>
  </si>
  <si>
    <t>Se necesita que un rechazo de dato sea siempre explicable en el momento y en el lenguaje de la finca, para que el supervisor pueda corregirlo solo.</t>
  </si>
  <si>
    <t>recibe el rechazo de un valor que acaba de digitar</t>
  </si>
  <si>
    <t>los mensajes del motor de validación en el dispositivo</t>
  </si>
  <si>
    <t>en campo, sin conexión y sin nadie a quien preguntar</t>
  </si>
  <si>
    <t>indica qué regla se violó, con qué valores y qué debe hacer, sin códigos técnicos</t>
  </si>
  <si>
    <t>100% de los rechazos con motivo en lenguaje del negocio, 0 códigos de error técnicos visibles y corrección sin ayuda externa en el 90% o más de los casos de prueba</t>
  </si>
  <si>
    <t>un supervisor de campo recibe el rechazo de un valor que acaba de digitar, sobre los mensajes del motor de validación en el dispositivo, en campo, sin conexión y sin nadie a quien preguntar. El sistema indica qué regla se violó, con qué valores y qué debe hacer, sin códigos técnicos, con 100% de los rechazos con motivo en lenguaje del negocio, 0 códigos de error técnicos visibles y corrección sin ayuda externa en el 90% o más de los casos de prueba.</t>
  </si>
  <si>
    <t>Se replanteó atándolo a la condición que lo vuelve un requisito de calidad: el supervisor está solo en campo cuando ocurre.</t>
  </si>
  <si>
    <t>ESC-57</t>
  </si>
  <si>
    <t>Se necesita que las reglas de validación den exactamente el mismo resultado sin conexión que estando conectado.</t>
  </si>
  <si>
    <t>captura el mismo dato con conexión y sin ella</t>
  </si>
  <si>
    <t>el motor de validación del dispositivo y el del servidor</t>
  </si>
  <si>
    <t>en campo sin conexión y luego al sincronizar</t>
  </si>
  <si>
    <t>no vuelve a rechazar en el servidor lo que el dispositivo aceptó con la misma versión de reglas</t>
  </si>
  <si>
    <t>0% de divergencias entre la validación local y la del servidor con la misma versión de reglas, 100% de los registros con la versión de reglas usada y discrepancias siempre reportadas, nunca descartadas en silencio</t>
  </si>
  <si>
    <t>un supervisor de campo captura el mismo dato con conexión y sin ella, sobre el motor de validación del dispositivo y el del servidor, en campo sin conexión y luego al sincronizar. El sistema no vuelve a rechazar en el servidor lo que el dispositivo aceptó con la misma versión de reglas, con 0% de divergencias entre la validación local y la del servidor con la misma versión de reglas, 100% de los registros con la versión de reglas usada y discrepancias siempre reportadas, nunca descartadas en silencio.</t>
  </si>
  <si>
    <t>Se replanteó como equivalencia verificable entre las dos ejecuciones del mismo motor, que es lo que hace exigible «que funcionen igual».</t>
  </si>
  <si>
    <t>ESC-58</t>
  </si>
  <si>
    <t>Se necesita que corregir un dato ya sincronizado sea posible bajo autorización, dejando visible qué cambió, quién lo cambió y por qué.</t>
  </si>
  <si>
    <t>un supervisor de campo que detecta el error, con autorización del administrador de la empresa</t>
  </si>
  <si>
    <t>solicita corregir un registro que ya está en el servidor y ya alimentó una proyección</t>
  </si>
  <si>
    <t>el registro sincronizado, su bitácora y las proyecciones que lo usaron</t>
  </si>
  <si>
    <t>aplica la corrección como un evento nuevo, conserva el valor original y marca las proyecciones afectadas</t>
  </si>
  <si>
    <t>0 valores sobrescritos sin historia, 100% de las correcciones con autor, motivo y autorización y proyecciones afectadas identificadas en 1 hora o menos</t>
  </si>
  <si>
    <t>un supervisor de campo que detecta el error, con autorización del administrador de la empresa solicita corregir un registro que ya está en el servidor y ya alimentó una proyección, sobre el registro sincronizado, su bitácora y las proyecciones que lo usaron, en operación normal, con proyecciones ya publicadas. El sistema aplica la corrección como un evento nuevo, conserva el valor original y marca las proyecciones afectadas, con 0 valores sobrescritos sin historia, 100% de las correcciones con autor, motivo y autorización y proyecciones afectadas identificadas en 1 hora o menos.</t>
  </si>
  <si>
    <t>El cliente lo señaló explícitamente (quién corrige un dato ya sincronizado). Se replanteó como corrección auditada, no como edición.</t>
  </si>
  <si>
    <t>ESC-59</t>
  </si>
  <si>
    <t>Se necesita que una caída del servicio en la nube se convierta en retraso y no en una parada de la operación en campo.</t>
  </si>
  <si>
    <t>una caída del servicio en la nube</t>
  </si>
  <si>
    <t>deja el servicio central indisponible durante la jornada</t>
  </si>
  <si>
    <t>la app de captura y su cola local</t>
  </si>
  <si>
    <t>con la jornada de campo en curso y los 3 supervisores capturando</t>
  </si>
  <si>
    <t>mantiene la captura funcionando sin degradación y sincroniza todo lo capturado al restablecerse el servicio</t>
  </si>
  <si>
    <t>100% de la captura disponible durante la caída, 0 registros perdidos, recuperación del servicio en 1 hora o menos y puesta al día en 1 jornada o menos</t>
  </si>
  <si>
    <t>una caída del servicio en la nube deja el servicio central indisponible durante la jornada, sobre la app de captura y su cola local, con la jornada de campo en curso y los 3 supervisores capturando. El sistema mantiene la captura funcionando sin degradación y sincroniza todo lo capturado al restablecerse el servicio, con 100% de la captura disponible durante la caída, 0 registros perdidos, recuperación del servicio en 1 hora o menos y puesta al día en 1 jornada o menos.</t>
  </si>
  <si>
    <t>Se replanteó con la tolerancia ya medida (1 hora de fallo) y explicitando por qué esa hora es realista: el trabajo sin conexión convierte la caída en retraso.</t>
  </si>
  <si>
    <t>ESC-60</t>
  </si>
  <si>
    <t>Se necesita que lo sincronizado quede visible en la consulta web dentro de la misma hora, para reemplazar los 8 días actuales.</t>
  </si>
  <si>
    <t>consulta la web después de que los dispositivos sincronizaron</t>
  </si>
  <si>
    <t>la consulta web y los tableros</t>
  </si>
  <si>
    <t>al cierre de jornada, incluida la temporada alta</t>
  </si>
  <si>
    <t>muestra la información de la jornada ya consolidada</t>
  </si>
  <si>
    <t>1 hora o menos entre la sincronización y la visibilidad en el 95% de los casos, frente a los 8 días actuales, con degradación máxima del 20% en temporada alta</t>
  </si>
  <si>
    <t>un administrador de producción consulta la web después de que los dispositivos sincronizaron, sobre la consulta web y los tableros, al cierre de jornada, incluida la temporada alta. El sistema muestra la información de la jornada ya consolidada, con 1 hora o menos entre la sincronización y la visibilidad en el 95% de los casos, frente a los 8 días actuales, con degradación máxima del 20% en temporada alta.</t>
  </si>
  <si>
    <t>Se replanteó contra el dolor medido (8 días de latencia), que es lo que justifica y hace defendible la meta.</t>
  </si>
  <si>
    <t>ESC-61</t>
  </si>
  <si>
    <t>Se necesita que el rendimiento en temporada alta se mantenga dentro de un margen conocido frente al resto del año.</t>
  </si>
  <si>
    <t>la carga de la temporada alta</t>
  </si>
  <si>
    <t>sube el volumen un 60% en tallos y registros y el personal entre 30 y 40%</t>
  </si>
  <si>
    <t>la sincronización, el motor de proyección y la consulta web</t>
  </si>
  <si>
    <t>en la temporada alta de marzo y abril</t>
  </si>
  <si>
    <t>sostiene los tiempos de respuesta comprometidos sin rechazar operaciones</t>
  </si>
  <si>
    <t>degradación máxima del 20% en los tiempos comprometidos, 0 operaciones rechazadas por carga y sin intervención manual para escalar</t>
  </si>
  <si>
    <t>la carga de la temporada alta sube el volumen un 60% en tallos y registros y el personal entre 30 y 40%, sobre la sincronización, el motor de proyección y la consulta web, en la temporada alta de marzo y abril. El sistema sostiene los tiempos de respuesta comprometidos sin rechazar operaciones, con degradación máxima del 20% en los tiempos comprometidos, 0 operaciones rechazadas por carga y sin intervención manual para escalar.</t>
  </si>
  <si>
    <t>Se replanteó de «que se mantenga igual» a un margen explícito, porque «igual» no es alcanzable ni verificable.</t>
  </si>
  <si>
    <t>ESC-62</t>
  </si>
  <si>
    <t>Se necesita poder reconstruir la historia de un lote aunque haya ocupado varias camas y secciones a lo largo del tiempo.</t>
  </si>
  <si>
    <t>pide la historia de un lote que se sembró en varias camas y secciones</t>
  </si>
  <si>
    <t>la relación lote-cama-sección y la bitácora de eventos</t>
  </si>
  <si>
    <t>en operación normal, sobre la historia en línea de 5 años</t>
  </si>
  <si>
    <t>entrega la historia consolidada del lote, con el detalle por cama y por sección</t>
  </si>
  <si>
    <t>100% de las camas y secciones del lote incluidas, consulta en 10 segundos o menos y 0 eventos huérfanos sin lote asociado</t>
  </si>
  <si>
    <t>un administrador de producción pide la historia de un lote que se sembró en varias camas y secciones, sobre la relación lote-cama-sección y la bitácora de eventos, en operación normal, sobre la historia en línea de 5 años. El sistema entrega la historia consolidada del lote, con el detalle por cama y por sección, con 100% de las camas y secciones del lote incluidas, consulta en 10 segundos o menos y 0 eventos huérfanos sin lote asociado.</t>
  </si>
  <si>
    <t>El cliente lo marcó con «*»: falta confirmar qué es un «lote» en la finca. El escenario se escribió sobre la relación lote-cama-sección para poder validarlo.</t>
  </si>
  <si>
    <t>ESC-63</t>
  </si>
  <si>
    <t>Se necesita que ninguna disminución de plantas o de tallos esperados quede sin motivo registrado.</t>
  </si>
  <si>
    <t>registra una baja o una erradicación que reduce lo esperado</t>
  </si>
  <si>
    <t>el registro de bajas y su catálogo de motivos, incluida la enfermedad</t>
  </si>
  <si>
    <t>exige un motivo del catálogo antes de aceptar la disminución y lo propaga a la proyección</t>
  </si>
  <si>
    <t>100% de las disminuciones con motivo, 0 bajas aceptadas sin motivo y motivo disponible en el análisis de desviación</t>
  </si>
  <si>
    <t>un supervisor de campo registra una baja o una erradicación que reduce lo esperado, sobre el registro de bajas y su catálogo de motivos, incluida la enfermedad, en campo, sin conexión. El sistema exige un motivo del catálogo antes de aceptar la disminución y lo propaga a la proyección, con 100% de las disminuciones con motivo, 0 bajas aceptadas sin motivo y motivo disponible en el análisis de desviación.</t>
  </si>
  <si>
    <t>Se replanteó como completitud obligatoria del motivo, que es lo que hace explicable la desviación de la proyección.</t>
  </si>
  <si>
    <t>ESC-64</t>
  </si>
  <si>
    <t>Se necesita que una empresa con varias fincas opere sobre un solo sistema, con la información consolidada y separable por finca.</t>
  </si>
  <si>
    <t>consulta y proyecta sobre varias fincas de su empresa</t>
  </si>
  <si>
    <t>la estructura Empresa - Fincas - Bloques - Naves - Camas - Secciones</t>
  </si>
  <si>
    <t>en operación normal, con fincas que capturan en paralelo</t>
  </si>
  <si>
    <t>entrega la vista consolidada y la vista por finca sin duplicar catálogos ni instalaciones</t>
  </si>
  <si>
    <t>1 sola instalación por empresa, 100% de los reportes disponibles consolidados y por finca y sin degradación al agregar fincas dentro del rango previsto</t>
  </si>
  <si>
    <t>un administrador de producción consulta y proyecta sobre varias fincas de su empresa, sobre la estructura Empresa - Fincas - Bloques - Naves - Camas - Secciones, en operación normal, con fincas que capturan en paralelo. El sistema entrega la vista consolidada y la vista por finca sin duplicar catálogos ni instalaciones, con 1 sola instalación por empresa, 100% de los reportes disponibles consolidados y por finca y sin degradación al agregar fincas dentro del rango previsto.</t>
  </si>
  <si>
    <t>Se replanteó como propiedad estructural del modelo Empresa-Finca, no como una funcionalidad de reporte.</t>
  </si>
  <si>
    <t>ESC-65</t>
  </si>
  <si>
    <t>Se necesita que el dispositivo tenga el catálogo completo de la finca antes de salir a capturar, para que nada dependa de la red en el campo.</t>
  </si>
  <si>
    <t>prepara el dispositivo antes de salir al cultivo</t>
  </si>
  <si>
    <t>el catálogo local (camas, secciones, variedades, grados y reglas)</t>
  </si>
  <si>
    <t>en la finca, con conexión, antes de iniciar la jornada</t>
  </si>
  <si>
    <t>descarga y verifica el catálogo completo y avisa si está incompleto o desactualizado</t>
  </si>
  <si>
    <t>descarga completa en 5 minutos o menos, 100% del catálogo de la finca disponible localmente y aviso bloqueante si falta algo antes de salir</t>
  </si>
  <si>
    <t>un supervisor de campo prepara el dispositivo antes de salir al cultivo, sobre el catálogo local (camas, secciones, variedades, grados y reglas), en la finca, con conexión, antes de iniciar la jornada. El sistema descarga y verifica el catálogo completo y avisa si está incompleto o desactualizado, con descarga completa en 5 minutos o menos, 100% del catálogo de la finca disponible localmente y aviso bloqueante si falta algo antes de salir.</t>
  </si>
  <si>
    <t>Se replanteó como precondición verificable de la operación sin conexión: es lo que sostiene a ESC-04 y ESC-37.</t>
  </si>
  <si>
    <t>Cómo leer esta hoja. Cada fila es uno de los 65 escenarios priorizados en la hoja «Top 65 - Priorizadas», con el planteamiento corregido y documentado en las seis partes del escenario de calidad (fuente, estímulo, artefacto, entorno, respuesta y medida de respuesta). La corrección siguió tres reglas: (1) lo que estaba escrito como funcionalidad («¿se necesita que el sistema haga X?») se reescribió como una propiedad de calidad observable; (2) todo escenario recibió un estímulo concreto y una medida de respuesta verificable, usando los números ya medidos con el cliente (pérdida de datos cero, 1 hora de tolerancia a fallo, 1 día para restaurar, 8 días de latencia actual, 2% de error de captura, +60% de volumen en temporada alta, 1 hora/día del supervisor); (3) donde el planteamiento chocaba con una decisión vigente o con una brecha abierta, el escenario se escribió igual y la contradicción quedó anotada en la columna «Observación» (ver ESC-16 sobre instalación en servidores propios, ESC-29 sobre Power BI, ESC-26, ESC-34, ESC-44 y ESC-62). La columna «Escenario de calidad» es la redacción en prosa que resulta de unir las seis partes.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</si>
</sst>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theme="1"/>
      <name val="Calibri"/>
      <family val="2"/>
      <charset val="1"/>
    </font>
    <font>
      <sz val="10"/>
      <name val="Arial"/>
      <family val="2"/>
    </font>
    <font>
      <sz val="11"/>
      <color rgb="FF000000"/>
      <name val="Aptos Narrow"/>
      <family val="2"/>
      <scheme val="minor"/>
    </font>
    <font>
      <b/>
      <sz val="11"/>
      <color rgb="FFFFFFFF"/>
      <name val="Arial"/>
      <family val="2"/>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C1F0C8"/>
        <bgColor rgb="FF000000"/>
      </patternFill>
    </fill>
    <fill>
      <patternFill patternType="solid">
        <fgColor rgb="FFC6EFCE"/>
        <bgColor rgb="FF000000"/>
      </patternFill>
    </fill>
    <fill>
      <patternFill patternType="solid">
        <fgColor rgb="FF4472C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cellStyleXfs>
  <cellXfs count="3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0" fontId="1" fillId="0" borderId="1" xfId="0" applyFont="1" applyBorder="1"/>
    <xf numFmtId="0" fontId="0" fillId="2" borderId="1" xfId="0" applyFill="1" applyBorder="1"/>
    <xf numFmtId="10" fontId="0" fillId="2" borderId="1" xfId="0" applyNumberFormat="1" applyFill="1" applyBorder="1"/>
    <xf numFmtId="0" fontId="0" fillId="3" borderId="1" xfId="0" applyFill="1" applyBorder="1"/>
    <xf numFmtId="0" fontId="0" fillId="4" borderId="1" xfId="0" applyFill="1" applyBorder="1"/>
    <xf numFmtId="10" fontId="0" fillId="4" borderId="1" xfId="0" applyNumberFormat="1" applyFill="1" applyBorder="1"/>
    <xf numFmtId="10" fontId="0" fillId="0" borderId="0" xfId="0" applyNumberFormat="1"/>
    <xf numFmtId="0" fontId="0" fillId="2" borderId="4" xfId="0" applyFill="1" applyBorder="1"/>
    <xf numFmtId="0" fontId="0" fillId="3" borderId="4" xfId="0" applyFill="1" applyBorder="1"/>
    <xf numFmtId="0" fontId="0" fillId="0" borderId="5" xfId="0" applyBorder="1"/>
    <xf numFmtId="0" fontId="0" fillId="3" borderId="5" xfId="0" applyFill="1" applyBorder="1"/>
    <xf numFmtId="0" fontId="3" fillId="0" borderId="6" xfId="1" applyFont="1" applyBorder="1" applyAlignment="1">
      <alignment horizontal="left" vertical="top" wrapText="1"/>
    </xf>
    <xf numFmtId="0" fontId="3" fillId="0" borderId="7" xfId="1" applyFont="1" applyBorder="1" applyAlignment="1">
      <alignment horizontal="left" vertical="top" wrapText="1"/>
    </xf>
    <xf numFmtId="0" fontId="0" fillId="5" borderId="1" xfId="0" applyFill="1" applyBorder="1"/>
    <xf numFmtId="0" fontId="4" fillId="6" borderId="8" xfId="0" applyFont="1" applyFill="1" applyBorder="1"/>
    <xf numFmtId="0" fontId="4" fillId="6" borderId="8" xfId="0" applyFont="1" applyFill="1" applyBorder="1" applyAlignment="1">
      <alignment wrapText="1"/>
    </xf>
    <xf numFmtId="0" fontId="4" fillId="7" borderId="8" xfId="0" applyFont="1" applyFill="1" applyBorder="1"/>
    <xf numFmtId="0" fontId="4" fillId="7" borderId="8" xfId="0" applyFont="1" applyFill="1" applyBorder="1" applyAlignment="1">
      <alignment wrapText="1"/>
    </xf>
    <xf numFmtId="0" fontId="3" fillId="0" borderId="6" xfId="0" applyFont="1" applyBorder="1"/>
    <xf numFmtId="0" fontId="5" fillId="8" borderId="0" xfId="0" applyFont="1" applyFill="1" applyAlignment="1">
      <alignment horizontal="center" vertical="center" wrapText="1"/>
    </xf>
    <xf numFmtId="0" fontId="0" fillId="0" borderId="0" xfId="0" applyAlignment="1">
      <alignment vertical="top" wrapText="1"/>
    </xf>
    <xf numFmtId="0" fontId="0" fillId="0" borderId="2" xfId="0" applyBorder="1" applyAlignment="1">
      <alignment horizontal="center"/>
    </xf>
    <xf numFmtId="0" fontId="0" fillId="0" borderId="2" xfId="0" applyBorder="1"/>
    <xf numFmtId="0" fontId="1" fillId="0" borderId="1" xfId="0" applyFont="1" applyBorder="1" applyAlignment="1">
      <alignment horizontal="center" vertical="center"/>
    </xf>
    <xf numFmtId="0" fontId="0" fillId="0" borderId="9" xfId="0" applyBorder="1"/>
    <xf numFmtId="0" fontId="0" fillId="0" borderId="10" xfId="0" applyBorder="1"/>
    <xf numFmtId="0" fontId="0" fillId="0" borderId="3" xfId="0" applyBorder="1"/>
    <xf numFmtId="0" fontId="1" fillId="0" borderId="1" xfId="0" applyFont="1" applyBorder="1" applyAlignment="1">
      <alignment horizontal="center"/>
    </xf>
    <xf numFmtId="0" fontId="0" fillId="0" borderId="0" xfId="0" applyAlignment="1">
      <alignment vertical="top" wrapText="1"/>
    </xf>
    <xf numFmtId="0" fontId="0" fillId="0" borderId="0" xfId="0"/>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Mapa de empatía</a:t>
            </a:r>
          </a:p>
        </c:rich>
      </c:tx>
      <c:overlay val="0"/>
      <c:spPr>
        <a:noFill/>
        <a:ln>
          <a:noFill/>
          <a:prstDash val="solid"/>
        </a:ln>
      </c:spPr>
    </c:title>
    <c:autoTitleDeleted val="0"/>
    <c:plotArea>
      <c:layout/>
      <c:radarChart>
        <c:radarStyle val="marker"/>
        <c:varyColors val="0"/>
        <c:ser>
          <c:idx val="0"/>
          <c:order val="0"/>
          <c:tx>
            <c:strRef>
              <c:f>'2. Priorización-QA'!$B$1:$B$2</c:f>
              <c:strCache>
                <c:ptCount val="2"/>
                <c:pt idx="0">
                  <c:v>&lt;---Actores----&gt;</c:v>
                </c:pt>
                <c:pt idx="1">
                  <c:v>Supervisor de Campo</c:v>
                </c:pt>
              </c:strCache>
            </c:strRef>
          </c:tx>
          <c:spPr>
            <a:ln w="28575" cap="rnd">
              <a:solidFill>
                <a:schemeClr val="accent1"/>
              </a:solidFill>
              <a:prstDash val="solid"/>
              <a:round/>
            </a:ln>
          </c:spPr>
          <c:marker>
            <c:symbol val="circle"/>
            <c:size val="5"/>
            <c:spPr>
              <a:solidFill>
                <a:schemeClr val="accent1"/>
              </a:solidFill>
              <a:ln w="9525">
                <a:solidFill>
                  <a:schemeClr val="accent1"/>
                </a:solidFill>
                <a:prstDash val="solid"/>
              </a:ln>
            </c:spPr>
          </c:marker>
          <c:cat>
            <c:strRef>
              <c:f>'2. Priorización-QA'!$A$3:$A$15</c:f>
              <c:strCache>
                <c:ptCount val="13"/>
                <c:pt idx="0">
                  <c:v>Confiabilidad</c:v>
                </c:pt>
                <c:pt idx="1">
                  <c:v>Disponibilidad</c:v>
                </c:pt>
                <c:pt idx="2">
                  <c:v>Rendimiento</c:v>
                </c:pt>
                <c:pt idx="3">
                  <c:v>Capacidad para ser Auditado</c:v>
                </c:pt>
                <c:pt idx="4">
                  <c:v>Capacidad</c:v>
                </c:pt>
                <c:pt idx="5">
                  <c:v>Capacidad para ser Administrado</c:v>
                </c:pt>
                <c:pt idx="6">
                  <c:v>Experiencia de Usuario</c:v>
                </c:pt>
                <c:pt idx="7">
                  <c:v>Seguridad</c:v>
                </c:pt>
                <c:pt idx="8">
                  <c:v>Interoperatividad</c:v>
                </c:pt>
                <c:pt idx="9">
                  <c:v>Escalabilidad</c:v>
                </c:pt>
                <c:pt idx="10">
                  <c:v>Capacidad para ser Soportado</c:v>
                </c:pt>
                <c:pt idx="11">
                  <c:v>Portabilidad</c:v>
                </c:pt>
                <c:pt idx="12">
                  <c:v>Accesibilidad</c:v>
                </c:pt>
              </c:strCache>
            </c:strRef>
          </c:cat>
          <c:val>
            <c:numRef>
              <c:f>'2. Priorización-QA'!$B$3:$B$15</c:f>
              <c:numCache>
                <c:formatCode>General</c:formatCode>
                <c:ptCount val="13"/>
                <c:pt idx="0">
                  <c:v>1</c:v>
                </c:pt>
                <c:pt idx="1">
                  <c:v>2</c:v>
                </c:pt>
                <c:pt idx="2">
                  <c:v>3</c:v>
                </c:pt>
                <c:pt idx="3">
                  <c:v>9</c:v>
                </c:pt>
                <c:pt idx="4">
                  <c:v>11</c:v>
                </c:pt>
                <c:pt idx="5">
                  <c:v>13</c:v>
                </c:pt>
                <c:pt idx="6">
                  <c:v>6</c:v>
                </c:pt>
                <c:pt idx="7">
                  <c:v>10</c:v>
                </c:pt>
                <c:pt idx="8">
                  <c:v>5</c:v>
                </c:pt>
                <c:pt idx="9">
                  <c:v>8</c:v>
                </c:pt>
                <c:pt idx="10">
                  <c:v>12</c:v>
                </c:pt>
                <c:pt idx="11">
                  <c:v>4</c:v>
                </c:pt>
                <c:pt idx="12">
                  <c:v>7</c:v>
                </c:pt>
              </c:numCache>
            </c:numRef>
          </c:val>
          <c:extLst>
            <c:ext xmlns:c16="http://schemas.microsoft.com/office/drawing/2014/chart" uri="{C3380CC4-5D6E-409C-BE32-E72D297353CC}">
              <c16:uniqueId val="{00000000-590C-4357-9225-2EC29B8D02EB}"/>
            </c:ext>
          </c:extLst>
        </c:ser>
        <c:ser>
          <c:idx val="1"/>
          <c:order val="1"/>
          <c:tx>
            <c:strRef>
              <c:f>'2. Priorización-QA'!$C$1:$C$2</c:f>
              <c:strCache>
                <c:ptCount val="2"/>
                <c:pt idx="0">
                  <c:v>&lt;---Actores----&gt;</c:v>
                </c:pt>
                <c:pt idx="1">
                  <c:v>Gerente de producción</c:v>
                </c:pt>
              </c:strCache>
            </c:strRef>
          </c:tx>
          <c:spPr>
            <a:ln w="28575" cap="rnd">
              <a:solidFill>
                <a:schemeClr val="accent2"/>
              </a:solidFill>
              <a:prstDash val="solid"/>
              <a:round/>
            </a:ln>
          </c:spPr>
          <c:marker>
            <c:symbol val="circle"/>
            <c:size val="5"/>
            <c:spPr>
              <a:solidFill>
                <a:schemeClr val="accent2"/>
              </a:solidFill>
              <a:ln w="9525">
                <a:solidFill>
                  <a:schemeClr val="accent2"/>
                </a:solidFill>
                <a:prstDash val="solid"/>
              </a:ln>
            </c:spPr>
          </c:marker>
          <c:cat>
            <c:strRef>
              <c:f>'2. Priorización-QA'!$A$3:$A$15</c:f>
              <c:strCache>
                <c:ptCount val="13"/>
                <c:pt idx="0">
                  <c:v>Confiabilidad</c:v>
                </c:pt>
                <c:pt idx="1">
                  <c:v>Disponibilidad</c:v>
                </c:pt>
                <c:pt idx="2">
                  <c:v>Rendimiento</c:v>
                </c:pt>
                <c:pt idx="3">
                  <c:v>Capacidad para ser Auditado</c:v>
                </c:pt>
                <c:pt idx="4">
                  <c:v>Capacidad</c:v>
                </c:pt>
                <c:pt idx="5">
                  <c:v>Capacidad para ser Administrado</c:v>
                </c:pt>
                <c:pt idx="6">
                  <c:v>Experiencia de Usuario</c:v>
                </c:pt>
                <c:pt idx="7">
                  <c:v>Seguridad</c:v>
                </c:pt>
                <c:pt idx="8">
                  <c:v>Interoperatividad</c:v>
                </c:pt>
                <c:pt idx="9">
                  <c:v>Escalabilidad</c:v>
                </c:pt>
                <c:pt idx="10">
                  <c:v>Capacidad para ser Soportado</c:v>
                </c:pt>
                <c:pt idx="11">
                  <c:v>Portabilidad</c:v>
                </c:pt>
                <c:pt idx="12">
                  <c:v>Accesibilidad</c:v>
                </c:pt>
              </c:strCache>
            </c:strRef>
          </c:cat>
          <c:val>
            <c:numRef>
              <c:f>'2. Priorización-QA'!$C$3:$C$15</c:f>
              <c:numCache>
                <c:formatCode>General</c:formatCode>
                <c:ptCount val="13"/>
                <c:pt idx="0">
                  <c:v>1</c:v>
                </c:pt>
                <c:pt idx="1">
                  <c:v>2</c:v>
                </c:pt>
                <c:pt idx="2">
                  <c:v>5</c:v>
                </c:pt>
                <c:pt idx="3">
                  <c:v>4</c:v>
                </c:pt>
                <c:pt idx="4">
                  <c:v>3</c:v>
                </c:pt>
                <c:pt idx="5">
                  <c:v>7</c:v>
                </c:pt>
                <c:pt idx="6">
                  <c:v>6</c:v>
                </c:pt>
                <c:pt idx="7">
                  <c:v>8</c:v>
                </c:pt>
                <c:pt idx="8">
                  <c:v>10</c:v>
                </c:pt>
                <c:pt idx="9">
                  <c:v>9</c:v>
                </c:pt>
                <c:pt idx="10">
                  <c:v>13</c:v>
                </c:pt>
                <c:pt idx="11">
                  <c:v>11</c:v>
                </c:pt>
                <c:pt idx="12">
                  <c:v>12</c:v>
                </c:pt>
              </c:numCache>
            </c:numRef>
          </c:val>
          <c:extLst>
            <c:ext xmlns:c16="http://schemas.microsoft.com/office/drawing/2014/chart" uri="{C3380CC4-5D6E-409C-BE32-E72D297353CC}">
              <c16:uniqueId val="{00000001-590C-4357-9225-2EC29B8D02EB}"/>
            </c:ext>
          </c:extLst>
        </c:ser>
        <c:ser>
          <c:idx val="2"/>
          <c:order val="2"/>
          <c:tx>
            <c:strRef>
              <c:f>'2. Priorización-QA'!$D$1:$D$2</c:f>
              <c:strCache>
                <c:ptCount val="2"/>
                <c:pt idx="0">
                  <c:v>&lt;---Actores----&gt;</c:v>
                </c:pt>
                <c:pt idx="1">
                  <c:v>Administrador del sistema</c:v>
                </c:pt>
              </c:strCache>
            </c:strRef>
          </c:tx>
          <c:spPr>
            <a:ln w="28575" cap="rnd">
              <a:solidFill>
                <a:schemeClr val="accent3"/>
              </a:solidFill>
              <a:prstDash val="solid"/>
              <a:round/>
            </a:ln>
          </c:spPr>
          <c:marker>
            <c:symbol val="circle"/>
            <c:size val="5"/>
            <c:spPr>
              <a:solidFill>
                <a:schemeClr val="accent3"/>
              </a:solidFill>
              <a:ln w="9525">
                <a:solidFill>
                  <a:schemeClr val="accent3"/>
                </a:solidFill>
                <a:prstDash val="solid"/>
              </a:ln>
            </c:spPr>
          </c:marker>
          <c:cat>
            <c:strRef>
              <c:f>'2. Priorización-QA'!$A$3:$A$15</c:f>
              <c:strCache>
                <c:ptCount val="13"/>
                <c:pt idx="0">
                  <c:v>Confiabilidad</c:v>
                </c:pt>
                <c:pt idx="1">
                  <c:v>Disponibilidad</c:v>
                </c:pt>
                <c:pt idx="2">
                  <c:v>Rendimiento</c:v>
                </c:pt>
                <c:pt idx="3">
                  <c:v>Capacidad para ser Auditado</c:v>
                </c:pt>
                <c:pt idx="4">
                  <c:v>Capacidad</c:v>
                </c:pt>
                <c:pt idx="5">
                  <c:v>Capacidad para ser Administrado</c:v>
                </c:pt>
                <c:pt idx="6">
                  <c:v>Experiencia de Usuario</c:v>
                </c:pt>
                <c:pt idx="7">
                  <c:v>Seguridad</c:v>
                </c:pt>
                <c:pt idx="8">
                  <c:v>Interoperatividad</c:v>
                </c:pt>
                <c:pt idx="9">
                  <c:v>Escalabilidad</c:v>
                </c:pt>
                <c:pt idx="10">
                  <c:v>Capacidad para ser Soportado</c:v>
                </c:pt>
                <c:pt idx="11">
                  <c:v>Portabilidad</c:v>
                </c:pt>
                <c:pt idx="12">
                  <c:v>Accesibilidad</c:v>
                </c:pt>
              </c:strCache>
            </c:strRef>
          </c:cat>
          <c:val>
            <c:numRef>
              <c:f>'2. Priorización-QA'!$D$3:$D$15</c:f>
              <c:numCache>
                <c:formatCode>General</c:formatCode>
                <c:ptCount val="13"/>
                <c:pt idx="0">
                  <c:v>1</c:v>
                </c:pt>
                <c:pt idx="1">
                  <c:v>7</c:v>
                </c:pt>
                <c:pt idx="2">
                  <c:v>9</c:v>
                </c:pt>
                <c:pt idx="3">
                  <c:v>4</c:v>
                </c:pt>
                <c:pt idx="4">
                  <c:v>5</c:v>
                </c:pt>
                <c:pt idx="5">
                  <c:v>3</c:v>
                </c:pt>
                <c:pt idx="6">
                  <c:v>12</c:v>
                </c:pt>
                <c:pt idx="7">
                  <c:v>6</c:v>
                </c:pt>
                <c:pt idx="8">
                  <c:v>10</c:v>
                </c:pt>
                <c:pt idx="9">
                  <c:v>8</c:v>
                </c:pt>
                <c:pt idx="10">
                  <c:v>2</c:v>
                </c:pt>
                <c:pt idx="11">
                  <c:v>13</c:v>
                </c:pt>
                <c:pt idx="12">
                  <c:v>11</c:v>
                </c:pt>
              </c:numCache>
            </c:numRef>
          </c:val>
          <c:extLst>
            <c:ext xmlns:c16="http://schemas.microsoft.com/office/drawing/2014/chart" uri="{C3380CC4-5D6E-409C-BE32-E72D297353CC}">
              <c16:uniqueId val="{00000002-590C-4357-9225-2EC29B8D02EB}"/>
            </c:ext>
          </c:extLst>
        </c:ser>
        <c:dLbls>
          <c:showLegendKey val="0"/>
          <c:showVal val="0"/>
          <c:showCatName val="0"/>
          <c:showSerName val="0"/>
          <c:showPercent val="0"/>
          <c:showBubbleSize val="0"/>
        </c:dLbls>
        <c:axId val="1557421040"/>
        <c:axId val="1557409040"/>
      </c:radarChart>
      <c:catAx>
        <c:axId val="1557421040"/>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CO"/>
          </a:p>
        </c:txPr>
        <c:crossAx val="1557409040"/>
        <c:crosses val="autoZero"/>
        <c:auto val="1"/>
        <c:lblAlgn val="ctr"/>
        <c:lblOffset val="100"/>
        <c:noMultiLvlLbl val="0"/>
      </c:catAx>
      <c:valAx>
        <c:axId val="1557409040"/>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CO"/>
          </a:p>
        </c:txPr>
        <c:crossAx val="1557421040"/>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xdr:colOff>
      <xdr:row>17</xdr:row>
      <xdr:rowOff>65722</xdr:rowOff>
    </xdr:from>
    <xdr:to>
      <xdr:col>4</xdr:col>
      <xdr:colOff>939165</xdr:colOff>
      <xdr:row>45</xdr:row>
      <xdr:rowOff>55245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3"/>
  <sheetViews>
    <sheetView zoomScaleNormal="100" workbookViewId="0">
      <selection activeCell="Z17" sqref="Z17"/>
    </sheetView>
  </sheetViews>
  <sheetFormatPr baseColWidth="10" defaultRowHeight="14.25" x14ac:dyDescent="0.45"/>
  <cols>
    <col min="1" max="1" width="37.46484375" customWidth="1"/>
    <col min="2" max="2" width="10.53125" customWidth="1"/>
    <col min="3" max="15" width="3.796875" customWidth="1"/>
    <col min="16" max="16" width="2.1328125" customWidth="1"/>
    <col min="17" max="17" width="30.33203125" customWidth="1"/>
    <col min="18" max="18" width="10.1328125" customWidth="1"/>
    <col min="19" max="31" width="3.86328125" customWidth="1"/>
  </cols>
  <sheetData>
    <row r="1" spans="1:31" x14ac:dyDescent="0.45">
      <c r="A1" s="25" t="s">
        <v>311</v>
      </c>
      <c r="B1" s="26"/>
      <c r="C1" s="26"/>
      <c r="D1" s="26"/>
      <c r="E1" s="26"/>
      <c r="F1" s="26"/>
      <c r="G1" s="26"/>
      <c r="H1" s="26"/>
      <c r="I1" s="26"/>
      <c r="J1" s="26"/>
      <c r="K1" s="26"/>
      <c r="L1" s="26"/>
      <c r="M1" s="26"/>
      <c r="N1" s="26"/>
      <c r="O1" s="26"/>
      <c r="Q1" s="25" t="s">
        <v>312</v>
      </c>
      <c r="R1" s="26"/>
      <c r="S1" s="26"/>
      <c r="T1" s="26"/>
      <c r="U1" s="26"/>
      <c r="V1" s="26"/>
      <c r="W1" s="26"/>
      <c r="X1" s="26"/>
      <c r="Y1" s="26"/>
      <c r="Z1" s="26"/>
      <c r="AA1" s="26"/>
      <c r="AB1" s="26"/>
      <c r="AC1" s="26"/>
      <c r="AD1" s="26"/>
      <c r="AE1" s="26"/>
    </row>
    <row r="2" spans="1:31" x14ac:dyDescent="0.45">
      <c r="A2" s="27" t="s">
        <v>313</v>
      </c>
      <c r="B2" s="27" t="s">
        <v>314</v>
      </c>
      <c r="C2" s="27" t="s">
        <v>315</v>
      </c>
      <c r="D2" s="28"/>
      <c r="E2" s="28"/>
      <c r="F2" s="28"/>
      <c r="G2" s="28"/>
      <c r="H2" s="28"/>
      <c r="I2" s="28"/>
      <c r="J2" s="28"/>
      <c r="K2" s="28"/>
      <c r="L2" s="28"/>
      <c r="M2" s="28"/>
      <c r="N2" s="28"/>
      <c r="O2" s="29"/>
      <c r="P2" s="1"/>
      <c r="Q2" s="27" t="s">
        <v>313</v>
      </c>
      <c r="R2" s="27" t="s">
        <v>314</v>
      </c>
      <c r="S2" s="27" t="s">
        <v>315</v>
      </c>
      <c r="T2" s="28"/>
      <c r="U2" s="28"/>
      <c r="V2" s="28"/>
      <c r="W2" s="28"/>
      <c r="X2" s="28"/>
      <c r="Y2" s="28"/>
      <c r="Z2" s="28"/>
      <c r="AA2" s="28"/>
      <c r="AB2" s="28"/>
      <c r="AC2" s="28"/>
      <c r="AD2" s="28"/>
      <c r="AE2" s="29"/>
    </row>
    <row r="3" spans="1:31" x14ac:dyDescent="0.45">
      <c r="A3" s="30"/>
      <c r="B3" s="30"/>
      <c r="C3" s="2">
        <v>1</v>
      </c>
      <c r="D3" s="2">
        <v>2</v>
      </c>
      <c r="E3" s="2">
        <v>3</v>
      </c>
      <c r="F3" s="2">
        <v>4</v>
      </c>
      <c r="G3" s="2">
        <v>5</v>
      </c>
      <c r="H3" s="2">
        <v>6</v>
      </c>
      <c r="I3" s="2">
        <v>7</v>
      </c>
      <c r="J3" s="2">
        <v>8</v>
      </c>
      <c r="K3" s="2">
        <v>9</v>
      </c>
      <c r="L3" s="2">
        <v>10</v>
      </c>
      <c r="M3" s="2">
        <v>11</v>
      </c>
      <c r="N3" s="2">
        <v>12</v>
      </c>
      <c r="O3" s="2">
        <v>13</v>
      </c>
      <c r="P3" s="1"/>
      <c r="Q3" s="30"/>
      <c r="R3" s="30"/>
      <c r="S3" s="2">
        <v>1</v>
      </c>
      <c r="T3" s="2">
        <v>2</v>
      </c>
      <c r="U3" s="2">
        <v>3</v>
      </c>
      <c r="V3" s="2">
        <v>4</v>
      </c>
      <c r="W3" s="2">
        <v>5</v>
      </c>
      <c r="X3" s="2">
        <v>6</v>
      </c>
      <c r="Y3" s="2">
        <v>7</v>
      </c>
      <c r="Z3" s="2">
        <v>8</v>
      </c>
      <c r="AA3" s="2">
        <v>9</v>
      </c>
      <c r="AB3" s="2">
        <v>10</v>
      </c>
      <c r="AC3" s="2">
        <v>11</v>
      </c>
      <c r="AD3" s="2">
        <v>12</v>
      </c>
      <c r="AE3" s="2">
        <v>13</v>
      </c>
    </row>
    <row r="4" spans="1:31" x14ac:dyDescent="0.45">
      <c r="A4" s="3" t="s">
        <v>11</v>
      </c>
      <c r="B4" s="3">
        <v>1</v>
      </c>
      <c r="C4" s="7"/>
      <c r="D4" s="3"/>
      <c r="E4" s="3"/>
      <c r="F4" s="3"/>
      <c r="G4" s="3"/>
      <c r="H4" s="3"/>
      <c r="I4" s="3"/>
      <c r="J4" s="3"/>
      <c r="K4" s="3"/>
      <c r="L4" s="3"/>
      <c r="M4" s="3"/>
      <c r="N4" s="3"/>
      <c r="O4" s="3"/>
      <c r="Q4" s="3" t="s">
        <v>11</v>
      </c>
      <c r="R4" s="3">
        <v>1</v>
      </c>
      <c r="S4" s="7"/>
      <c r="T4" s="3"/>
      <c r="U4" s="3"/>
      <c r="V4" s="3"/>
      <c r="W4" s="3"/>
      <c r="X4" s="3"/>
      <c r="Y4" s="3"/>
      <c r="Z4" s="3"/>
      <c r="AA4" s="3"/>
      <c r="AB4" s="3"/>
      <c r="AC4" s="3"/>
      <c r="AD4" s="3"/>
      <c r="AE4" s="3"/>
    </row>
    <row r="5" spans="1:31" x14ac:dyDescent="0.45">
      <c r="A5" s="3" t="s">
        <v>197</v>
      </c>
      <c r="B5" s="3">
        <v>2</v>
      </c>
      <c r="C5" s="3"/>
      <c r="D5" s="7"/>
      <c r="E5" s="3"/>
      <c r="F5" s="3"/>
      <c r="G5" s="3"/>
      <c r="H5" s="3"/>
      <c r="I5" s="3"/>
      <c r="J5" s="3"/>
      <c r="K5" s="3"/>
      <c r="L5" s="3"/>
      <c r="M5" s="3"/>
      <c r="N5" s="3"/>
      <c r="O5" s="3"/>
      <c r="Q5" s="3" t="s">
        <v>128</v>
      </c>
      <c r="R5" s="3">
        <v>2</v>
      </c>
      <c r="S5" s="3"/>
      <c r="T5" s="7"/>
      <c r="U5" s="3"/>
      <c r="V5" s="3"/>
      <c r="W5" s="3"/>
      <c r="X5" s="3"/>
      <c r="Y5" s="3"/>
      <c r="Z5" s="3"/>
      <c r="AA5" s="3"/>
      <c r="AB5" s="3"/>
      <c r="AC5" s="3"/>
      <c r="AD5" s="3"/>
      <c r="AE5" s="3"/>
    </row>
    <row r="6" spans="1:31" x14ac:dyDescent="0.45">
      <c r="A6" s="3" t="s">
        <v>81</v>
      </c>
      <c r="B6" s="3">
        <v>3</v>
      </c>
      <c r="C6" s="3"/>
      <c r="D6" s="3"/>
      <c r="E6" s="7"/>
      <c r="F6" s="3"/>
      <c r="G6" s="3"/>
      <c r="H6" s="3"/>
      <c r="I6" s="3"/>
      <c r="J6" s="3"/>
      <c r="K6" s="3"/>
      <c r="L6" s="3"/>
      <c r="M6" s="3"/>
      <c r="N6" s="3"/>
      <c r="O6" s="3"/>
      <c r="Q6" s="3" t="s">
        <v>102</v>
      </c>
      <c r="R6" s="3">
        <v>3</v>
      </c>
      <c r="S6" s="3"/>
      <c r="T6" s="3"/>
      <c r="U6" s="7"/>
      <c r="V6" s="3"/>
      <c r="W6" s="3"/>
      <c r="X6" s="3"/>
      <c r="Y6" s="3"/>
      <c r="Z6" s="3"/>
      <c r="AA6" s="3"/>
      <c r="AB6" s="3"/>
      <c r="AC6" s="3"/>
      <c r="AD6" s="3"/>
      <c r="AE6" s="3"/>
    </row>
    <row r="7" spans="1:31" x14ac:dyDescent="0.45">
      <c r="A7" s="3" t="s">
        <v>217</v>
      </c>
      <c r="B7" s="3">
        <v>4</v>
      </c>
      <c r="C7" s="3"/>
      <c r="D7" s="3"/>
      <c r="E7" s="3"/>
      <c r="F7" s="7"/>
      <c r="G7" s="3"/>
      <c r="H7" s="3"/>
      <c r="I7" s="3"/>
      <c r="J7" s="3"/>
      <c r="K7" s="3"/>
      <c r="L7" s="3"/>
      <c r="M7" s="3"/>
      <c r="N7" s="3"/>
      <c r="O7" s="3"/>
      <c r="Q7" s="3" t="s">
        <v>217</v>
      </c>
      <c r="R7" s="3">
        <v>4</v>
      </c>
      <c r="S7" s="3"/>
      <c r="T7" s="3"/>
      <c r="U7" s="3"/>
      <c r="V7" s="7"/>
      <c r="W7" s="3"/>
      <c r="X7" s="3"/>
      <c r="Y7" s="3"/>
      <c r="Z7" s="3"/>
      <c r="AA7" s="3"/>
      <c r="AB7" s="3"/>
      <c r="AC7" s="3"/>
      <c r="AD7" s="3"/>
      <c r="AE7" s="3"/>
    </row>
    <row r="8" spans="1:31" x14ac:dyDescent="0.45">
      <c r="A8" s="3" t="s">
        <v>102</v>
      </c>
      <c r="B8" s="3">
        <v>5</v>
      </c>
      <c r="C8" s="3"/>
      <c r="D8" s="3"/>
      <c r="E8" s="3"/>
      <c r="F8" s="3"/>
      <c r="G8" s="7"/>
      <c r="H8" s="3"/>
      <c r="I8" s="3"/>
      <c r="J8" s="3"/>
      <c r="K8" s="3"/>
      <c r="L8" s="3"/>
      <c r="M8" s="3"/>
      <c r="N8" s="3"/>
      <c r="O8" s="3"/>
      <c r="Q8" s="3" t="s">
        <v>197</v>
      </c>
      <c r="R8" s="3">
        <v>5</v>
      </c>
      <c r="S8" s="3"/>
      <c r="T8" s="3"/>
      <c r="U8" s="3"/>
      <c r="V8" s="3"/>
      <c r="W8" s="7"/>
      <c r="X8" s="3"/>
      <c r="Y8" s="3"/>
      <c r="Z8" s="3"/>
      <c r="AA8" s="3"/>
      <c r="AB8" s="3"/>
      <c r="AC8" s="3"/>
      <c r="AD8" s="3"/>
      <c r="AE8" s="3"/>
    </row>
    <row r="9" spans="1:31" x14ac:dyDescent="0.45">
      <c r="A9" s="3" t="s">
        <v>265</v>
      </c>
      <c r="B9" s="3">
        <v>6</v>
      </c>
      <c r="C9" s="3"/>
      <c r="D9" s="3"/>
      <c r="E9" s="3"/>
      <c r="F9" s="3"/>
      <c r="G9" s="3"/>
      <c r="H9" s="7"/>
      <c r="I9" s="3"/>
      <c r="J9" s="3"/>
      <c r="K9" s="3"/>
      <c r="L9" s="3"/>
      <c r="M9" s="3"/>
      <c r="N9" s="3"/>
      <c r="O9" s="3"/>
      <c r="Q9" s="3" t="s">
        <v>81</v>
      </c>
      <c r="R9" s="3">
        <v>6</v>
      </c>
      <c r="S9" s="3"/>
      <c r="T9" s="3"/>
      <c r="U9" s="3"/>
      <c r="V9" s="3"/>
      <c r="W9" s="3"/>
      <c r="X9" s="7"/>
      <c r="Y9" s="3"/>
      <c r="Z9" s="3"/>
      <c r="AA9" s="3"/>
      <c r="AB9" s="3"/>
      <c r="AC9" s="3"/>
      <c r="AD9" s="3"/>
      <c r="AE9" s="3"/>
    </row>
    <row r="10" spans="1:31" x14ac:dyDescent="0.45">
      <c r="A10" s="3" t="s">
        <v>179</v>
      </c>
      <c r="B10" s="3">
        <v>7</v>
      </c>
      <c r="C10" s="3"/>
      <c r="D10" s="3"/>
      <c r="E10" s="3"/>
      <c r="F10" s="3"/>
      <c r="G10" s="3"/>
      <c r="H10" s="5"/>
      <c r="I10" s="7"/>
      <c r="J10" s="3"/>
      <c r="K10" s="3"/>
      <c r="L10" s="3"/>
      <c r="M10" s="3"/>
      <c r="N10" s="3"/>
      <c r="O10" s="3"/>
      <c r="Q10" s="3" t="s">
        <v>253</v>
      </c>
      <c r="R10" s="3">
        <v>7</v>
      </c>
      <c r="S10" s="3"/>
      <c r="T10" s="3"/>
      <c r="U10" s="3"/>
      <c r="V10" s="3"/>
      <c r="W10" s="3"/>
      <c r="X10" s="3"/>
      <c r="Y10" s="7"/>
      <c r="Z10" s="3"/>
      <c r="AA10" s="3"/>
      <c r="AB10" s="3"/>
      <c r="AC10" s="3"/>
      <c r="AD10" s="3"/>
      <c r="AE10" s="3"/>
    </row>
    <row r="11" spans="1:31" x14ac:dyDescent="0.45">
      <c r="A11" s="3" t="s">
        <v>279</v>
      </c>
      <c r="B11" s="3">
        <v>8</v>
      </c>
      <c r="C11" s="3"/>
      <c r="D11" s="3"/>
      <c r="E11" s="3"/>
      <c r="F11" s="3"/>
      <c r="G11" s="3"/>
      <c r="H11" s="3"/>
      <c r="I11" s="3"/>
      <c r="J11" s="7"/>
      <c r="K11" s="3"/>
      <c r="L11" s="3"/>
      <c r="M11" s="3"/>
      <c r="N11" s="3"/>
      <c r="O11" s="3"/>
      <c r="Q11" s="3" t="s">
        <v>179</v>
      </c>
      <c r="R11" s="3">
        <v>8</v>
      </c>
      <c r="S11" s="3"/>
      <c r="T11" s="3"/>
      <c r="U11" s="3"/>
      <c r="V11" s="3"/>
      <c r="W11" s="3"/>
      <c r="X11" s="3"/>
      <c r="Y11" s="3"/>
      <c r="Z11" s="7"/>
      <c r="AA11" s="3"/>
      <c r="AB11" s="3"/>
      <c r="AC11" s="3"/>
      <c r="AD11" s="3"/>
      <c r="AE11" s="3"/>
    </row>
    <row r="12" spans="1:31" x14ac:dyDescent="0.45">
      <c r="A12" s="3" t="s">
        <v>162</v>
      </c>
      <c r="B12" s="3">
        <v>9</v>
      </c>
      <c r="C12" s="3"/>
      <c r="D12" s="3"/>
      <c r="E12" s="3"/>
      <c r="F12" s="3"/>
      <c r="G12" s="3"/>
      <c r="H12" s="3"/>
      <c r="I12" s="3"/>
      <c r="J12" s="3"/>
      <c r="K12" s="7"/>
      <c r="L12" s="3"/>
      <c r="M12" s="3"/>
      <c r="N12" s="3"/>
      <c r="O12" s="3"/>
      <c r="Q12" s="3" t="s">
        <v>279</v>
      </c>
      <c r="R12" s="3">
        <v>9</v>
      </c>
      <c r="S12" s="3"/>
      <c r="T12" s="3"/>
      <c r="U12" s="3"/>
      <c r="V12" s="3"/>
      <c r="W12" s="3"/>
      <c r="X12" s="3"/>
      <c r="Y12" s="3"/>
      <c r="Z12" s="3"/>
      <c r="AA12" s="7"/>
      <c r="AB12" s="3"/>
      <c r="AC12" s="3"/>
      <c r="AD12" s="3"/>
      <c r="AE12" s="3"/>
    </row>
    <row r="13" spans="1:31" x14ac:dyDescent="0.45">
      <c r="A13" s="3" t="s">
        <v>294</v>
      </c>
      <c r="B13" s="3">
        <v>10</v>
      </c>
      <c r="C13" s="3"/>
      <c r="D13" s="3"/>
      <c r="E13" s="3"/>
      <c r="F13" s="3"/>
      <c r="G13" s="3"/>
      <c r="H13" s="3"/>
      <c r="I13" s="3"/>
      <c r="J13" s="3"/>
      <c r="K13" s="3"/>
      <c r="L13" s="7"/>
      <c r="M13" s="3"/>
      <c r="N13" s="3"/>
      <c r="O13" s="3"/>
      <c r="Q13" s="3" t="s">
        <v>162</v>
      </c>
      <c r="R13" s="3">
        <v>10</v>
      </c>
      <c r="S13" s="3"/>
      <c r="T13" s="3"/>
      <c r="U13" s="3"/>
      <c r="V13" s="3"/>
      <c r="W13" s="3"/>
      <c r="X13" s="3"/>
      <c r="Y13" s="3"/>
      <c r="Z13" s="3"/>
      <c r="AA13" s="3"/>
      <c r="AB13" s="7"/>
      <c r="AC13" s="3"/>
      <c r="AD13" s="3"/>
      <c r="AE13" s="3"/>
    </row>
    <row r="14" spans="1:31" x14ac:dyDescent="0.45">
      <c r="A14" s="3" t="s">
        <v>128</v>
      </c>
      <c r="B14" s="3">
        <v>11</v>
      </c>
      <c r="C14" s="3"/>
      <c r="D14" s="3"/>
      <c r="E14" s="3"/>
      <c r="F14" s="3"/>
      <c r="G14" s="3"/>
      <c r="H14" s="3"/>
      <c r="I14" s="3"/>
      <c r="J14" s="5"/>
      <c r="K14" s="3"/>
      <c r="L14" s="3"/>
      <c r="M14" s="7"/>
      <c r="N14" s="3"/>
      <c r="O14" s="3"/>
      <c r="Q14" s="3" t="s">
        <v>265</v>
      </c>
      <c r="R14" s="3">
        <v>11</v>
      </c>
      <c r="S14" s="3"/>
      <c r="T14" s="3"/>
      <c r="U14" s="3"/>
      <c r="V14" s="3"/>
      <c r="W14" s="3"/>
      <c r="X14" s="3"/>
      <c r="Y14" s="3"/>
      <c r="Z14" s="3"/>
      <c r="AA14" s="3"/>
      <c r="AB14" s="3"/>
      <c r="AC14" s="7"/>
      <c r="AD14" s="3"/>
      <c r="AE14" s="3"/>
    </row>
    <row r="15" spans="1:31" x14ac:dyDescent="0.45">
      <c r="A15" s="3" t="s">
        <v>253</v>
      </c>
      <c r="B15" s="3">
        <v>12</v>
      </c>
      <c r="C15" s="3"/>
      <c r="D15" s="3"/>
      <c r="E15" s="3"/>
      <c r="F15" s="3"/>
      <c r="G15" s="3"/>
      <c r="H15" s="3"/>
      <c r="I15" s="3"/>
      <c r="J15" s="3"/>
      <c r="K15" s="3"/>
      <c r="L15" s="3"/>
      <c r="M15" s="3"/>
      <c r="N15" s="7"/>
      <c r="O15" s="3"/>
      <c r="Q15" s="3" t="s">
        <v>237</v>
      </c>
      <c r="R15" s="3">
        <v>12</v>
      </c>
      <c r="S15" s="3"/>
      <c r="T15" s="3"/>
      <c r="U15" s="3"/>
      <c r="V15" s="3"/>
      <c r="W15" s="3"/>
      <c r="X15" s="3"/>
      <c r="Y15" s="3"/>
      <c r="Z15" s="3"/>
      <c r="AA15" s="3"/>
      <c r="AB15" s="3"/>
      <c r="AC15" s="3"/>
      <c r="AD15" s="7"/>
      <c r="AE15" s="3"/>
    </row>
    <row r="16" spans="1:31" x14ac:dyDescent="0.45">
      <c r="A16" s="3" t="s">
        <v>237</v>
      </c>
      <c r="B16" s="3">
        <v>13</v>
      </c>
      <c r="C16" s="3"/>
      <c r="D16" s="3"/>
      <c r="E16" s="3"/>
      <c r="F16" s="3"/>
      <c r="G16" s="3"/>
      <c r="H16" s="3"/>
      <c r="I16" s="3"/>
      <c r="J16" s="3"/>
      <c r="K16" s="3"/>
      <c r="L16" s="3"/>
      <c r="M16" s="3"/>
      <c r="N16" s="3"/>
      <c r="O16" s="7"/>
      <c r="Q16" s="3" t="s">
        <v>294</v>
      </c>
      <c r="R16" s="3">
        <v>13</v>
      </c>
      <c r="S16" s="3"/>
      <c r="T16" s="3"/>
      <c r="U16" s="3"/>
      <c r="V16" s="3"/>
      <c r="W16" s="3"/>
      <c r="X16" s="3"/>
      <c r="Y16" s="3"/>
      <c r="Z16" s="3"/>
      <c r="AA16" s="3"/>
      <c r="AB16" s="3"/>
      <c r="AC16" s="3"/>
      <c r="AD16" s="3"/>
      <c r="AE16" s="7"/>
    </row>
    <row r="18" spans="1:15" x14ac:dyDescent="0.45">
      <c r="A18" s="25" t="s">
        <v>316</v>
      </c>
      <c r="B18" s="26"/>
      <c r="C18" s="26"/>
      <c r="D18" s="26"/>
      <c r="E18" s="26"/>
      <c r="F18" s="26"/>
      <c r="G18" s="26"/>
      <c r="H18" s="26"/>
      <c r="I18" s="26"/>
      <c r="J18" s="26"/>
      <c r="K18" s="26"/>
      <c r="L18" s="26"/>
      <c r="M18" s="26"/>
      <c r="N18" s="26"/>
      <c r="O18" s="26"/>
    </row>
    <row r="19" spans="1:15" x14ac:dyDescent="0.45">
      <c r="A19" s="27" t="s">
        <v>313</v>
      </c>
      <c r="B19" s="27" t="s">
        <v>314</v>
      </c>
      <c r="C19" s="27" t="s">
        <v>315</v>
      </c>
      <c r="D19" s="28"/>
      <c r="E19" s="28"/>
      <c r="F19" s="28"/>
      <c r="G19" s="28"/>
      <c r="H19" s="28"/>
      <c r="I19" s="28"/>
      <c r="J19" s="28"/>
      <c r="K19" s="28"/>
      <c r="L19" s="28"/>
      <c r="M19" s="28"/>
      <c r="N19" s="28"/>
      <c r="O19" s="29"/>
    </row>
    <row r="20" spans="1:15" x14ac:dyDescent="0.45">
      <c r="A20" s="30"/>
      <c r="B20" s="30"/>
      <c r="C20" s="2">
        <v>1</v>
      </c>
      <c r="D20" s="2">
        <v>2</v>
      </c>
      <c r="E20" s="2">
        <v>3</v>
      </c>
      <c r="F20" s="2">
        <v>4</v>
      </c>
      <c r="G20" s="2">
        <v>5</v>
      </c>
      <c r="H20" s="2">
        <v>6</v>
      </c>
      <c r="I20" s="2">
        <v>7</v>
      </c>
      <c r="J20" s="2">
        <v>8</v>
      </c>
      <c r="K20" s="2">
        <v>9</v>
      </c>
      <c r="L20" s="2">
        <v>10</v>
      </c>
      <c r="M20" s="2">
        <v>11</v>
      </c>
      <c r="N20" s="2">
        <v>12</v>
      </c>
      <c r="O20" s="2">
        <v>13</v>
      </c>
    </row>
    <row r="21" spans="1:15" x14ac:dyDescent="0.45">
      <c r="A21" s="3" t="s">
        <v>11</v>
      </c>
      <c r="B21" s="3">
        <v>1</v>
      </c>
      <c r="C21" s="7"/>
      <c r="D21" s="5"/>
      <c r="E21" s="5"/>
      <c r="F21" s="5"/>
      <c r="G21" s="5"/>
      <c r="H21" s="5"/>
      <c r="I21" s="5"/>
      <c r="J21" s="5"/>
      <c r="K21" s="5"/>
      <c r="L21" s="5"/>
      <c r="M21" s="5"/>
      <c r="N21" s="5"/>
      <c r="O21" s="5"/>
    </row>
    <row r="22" spans="1:15" x14ac:dyDescent="0.45">
      <c r="A22" s="3" t="s">
        <v>81</v>
      </c>
      <c r="B22" s="3">
        <v>2</v>
      </c>
      <c r="C22" s="5"/>
      <c r="D22" s="7"/>
      <c r="E22" s="5"/>
      <c r="F22" s="5"/>
      <c r="G22" s="5"/>
      <c r="H22" s="5"/>
      <c r="I22" s="5"/>
      <c r="J22" s="5"/>
      <c r="K22" s="5"/>
      <c r="L22" s="5"/>
      <c r="M22" s="5"/>
      <c r="N22" s="5"/>
      <c r="O22" s="5"/>
    </row>
    <row r="23" spans="1:15" x14ac:dyDescent="0.45">
      <c r="A23" s="3" t="s">
        <v>162</v>
      </c>
      <c r="B23" s="3">
        <v>3</v>
      </c>
      <c r="C23" s="5"/>
      <c r="D23" s="5"/>
      <c r="E23" s="7"/>
      <c r="F23" s="5"/>
      <c r="G23" s="5"/>
      <c r="H23" s="5"/>
      <c r="I23" s="5"/>
      <c r="J23" s="5"/>
      <c r="K23" s="5"/>
      <c r="L23" s="5"/>
      <c r="M23" s="3"/>
      <c r="N23" s="5"/>
      <c r="O23" s="5"/>
    </row>
    <row r="24" spans="1:15" x14ac:dyDescent="0.45">
      <c r="A24" s="3" t="s">
        <v>102</v>
      </c>
      <c r="B24" s="3">
        <v>4</v>
      </c>
      <c r="C24" s="5"/>
      <c r="D24" s="5"/>
      <c r="E24" s="3"/>
      <c r="F24" s="7"/>
      <c r="G24" s="5"/>
      <c r="H24" s="5"/>
      <c r="I24" s="5"/>
      <c r="J24" s="5"/>
      <c r="K24" s="5"/>
      <c r="L24" s="5"/>
      <c r="M24" s="5"/>
      <c r="N24" s="5"/>
      <c r="O24" s="5"/>
    </row>
    <row r="25" spans="1:15" x14ac:dyDescent="0.45">
      <c r="A25" s="3" t="s">
        <v>128</v>
      </c>
      <c r="B25" s="3">
        <v>5</v>
      </c>
      <c r="C25" s="5"/>
      <c r="D25" s="5"/>
      <c r="E25" s="5"/>
      <c r="F25" s="3"/>
      <c r="G25" s="7"/>
      <c r="H25" s="5"/>
      <c r="I25" s="5"/>
      <c r="J25" s="5"/>
      <c r="K25" s="5"/>
      <c r="L25" s="5"/>
      <c r="M25" s="5"/>
      <c r="N25" s="5"/>
      <c r="O25" s="5"/>
    </row>
    <row r="26" spans="1:15" x14ac:dyDescent="0.45">
      <c r="A26" s="3" t="s">
        <v>179</v>
      </c>
      <c r="B26" s="3">
        <v>6</v>
      </c>
      <c r="C26" s="5"/>
      <c r="D26" s="5"/>
      <c r="E26" s="5"/>
      <c r="F26" s="5"/>
      <c r="G26" s="5"/>
      <c r="H26" s="7"/>
      <c r="I26" s="5"/>
      <c r="J26" s="5"/>
      <c r="K26" s="5"/>
      <c r="L26" s="5"/>
      <c r="M26" s="5"/>
      <c r="N26" s="5"/>
      <c r="O26" s="5"/>
    </row>
    <row r="27" spans="1:15" x14ac:dyDescent="0.45">
      <c r="A27" s="3" t="s">
        <v>237</v>
      </c>
      <c r="B27" s="3">
        <v>7</v>
      </c>
      <c r="C27" s="5"/>
      <c r="D27" s="5"/>
      <c r="E27" s="5"/>
      <c r="F27" s="5"/>
      <c r="G27" s="5"/>
      <c r="H27" s="5"/>
      <c r="I27" s="7"/>
      <c r="J27" s="5"/>
      <c r="K27" s="3"/>
      <c r="L27" s="3"/>
      <c r="M27" s="3"/>
      <c r="N27" s="5"/>
      <c r="O27" s="5"/>
    </row>
    <row r="28" spans="1:15" x14ac:dyDescent="0.45">
      <c r="A28" s="3" t="s">
        <v>197</v>
      </c>
      <c r="B28" s="3">
        <v>8</v>
      </c>
      <c r="C28" s="5"/>
      <c r="D28" s="3"/>
      <c r="E28" s="5"/>
      <c r="F28" s="3"/>
      <c r="G28" s="3"/>
      <c r="H28" s="3"/>
      <c r="I28" s="3"/>
      <c r="J28" s="7"/>
      <c r="K28" s="5"/>
      <c r="L28" s="5"/>
      <c r="M28" s="5"/>
      <c r="N28" s="5"/>
      <c r="O28" s="5"/>
    </row>
    <row r="29" spans="1:15" x14ac:dyDescent="0.45">
      <c r="A29" s="3" t="s">
        <v>217</v>
      </c>
      <c r="B29" s="3">
        <v>9</v>
      </c>
      <c r="C29" s="5"/>
      <c r="D29" s="5"/>
      <c r="E29" s="5"/>
      <c r="F29" s="5"/>
      <c r="G29" s="5"/>
      <c r="H29" s="3"/>
      <c r="I29" s="3"/>
      <c r="J29" s="3"/>
      <c r="K29" s="7"/>
      <c r="L29" s="5"/>
      <c r="M29" s="5"/>
      <c r="N29" s="11"/>
      <c r="O29" s="13"/>
    </row>
    <row r="30" spans="1:15" x14ac:dyDescent="0.45">
      <c r="A30" s="3" t="s">
        <v>279</v>
      </c>
      <c r="B30" s="3">
        <v>10</v>
      </c>
      <c r="C30" s="5"/>
      <c r="D30" s="5"/>
      <c r="E30" s="5"/>
      <c r="F30" s="5"/>
      <c r="G30" s="5"/>
      <c r="H30" s="5"/>
      <c r="I30" s="5"/>
      <c r="J30" s="3"/>
      <c r="K30" s="3"/>
      <c r="L30" s="7"/>
      <c r="M30" s="5"/>
      <c r="N30" s="11"/>
      <c r="O30" s="13"/>
    </row>
    <row r="31" spans="1:15" x14ac:dyDescent="0.45">
      <c r="A31" s="3" t="s">
        <v>265</v>
      </c>
      <c r="B31" s="3">
        <v>11</v>
      </c>
      <c r="C31" s="5"/>
      <c r="D31" s="5"/>
      <c r="E31" s="5"/>
      <c r="F31" s="5"/>
      <c r="G31" s="5"/>
      <c r="H31" s="5"/>
      <c r="I31" s="5"/>
      <c r="J31" s="5"/>
      <c r="K31" s="5"/>
      <c r="L31" s="5"/>
      <c r="M31" s="7"/>
      <c r="N31" s="11"/>
      <c r="O31" s="13"/>
    </row>
    <row r="32" spans="1:15" x14ac:dyDescent="0.45">
      <c r="A32" s="3" t="s">
        <v>294</v>
      </c>
      <c r="B32" s="3">
        <v>12</v>
      </c>
      <c r="C32" s="5"/>
      <c r="D32" s="5"/>
      <c r="E32" s="5"/>
      <c r="F32" s="5"/>
      <c r="G32" s="5"/>
      <c r="H32" s="5"/>
      <c r="I32" s="5"/>
      <c r="J32" s="5"/>
      <c r="K32" s="5"/>
      <c r="L32" s="5"/>
      <c r="M32" s="3"/>
      <c r="N32" s="12"/>
      <c r="O32" s="13"/>
    </row>
    <row r="33" spans="1:15" x14ac:dyDescent="0.45">
      <c r="A33" s="3" t="s">
        <v>253</v>
      </c>
      <c r="B33" s="3">
        <v>13</v>
      </c>
      <c r="C33" s="5"/>
      <c r="D33" s="5"/>
      <c r="E33" s="5"/>
      <c r="F33" s="5"/>
      <c r="G33" s="5"/>
      <c r="H33" s="5"/>
      <c r="I33" s="5"/>
      <c r="J33" s="5"/>
      <c r="K33" s="5"/>
      <c r="L33" s="5"/>
      <c r="M33" s="5"/>
      <c r="N33" s="11"/>
      <c r="O33" s="14"/>
    </row>
  </sheetData>
  <mergeCells count="12">
    <mergeCell ref="Q1:AE1"/>
    <mergeCell ref="C19:O19"/>
    <mergeCell ref="B19:B20"/>
    <mergeCell ref="A1:O1"/>
    <mergeCell ref="B2:B3"/>
    <mergeCell ref="Q2:Q3"/>
    <mergeCell ref="A2:A3"/>
    <mergeCell ref="R2:R3"/>
    <mergeCell ref="A18:O18"/>
    <mergeCell ref="S2:AE2"/>
    <mergeCell ref="A19:A20"/>
    <mergeCell ref="C2:O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topLeftCell="A4" workbookViewId="0">
      <selection activeCell="B16" sqref="B16"/>
    </sheetView>
  </sheetViews>
  <sheetFormatPr baseColWidth="10" defaultRowHeight="14.25" x14ac:dyDescent="0.45"/>
  <cols>
    <col min="1" max="1" width="27.86328125" customWidth="1"/>
    <col min="2" max="2" width="22" customWidth="1"/>
    <col min="3" max="3" width="22.1328125" customWidth="1"/>
    <col min="4" max="4" width="25.19921875" customWidth="1"/>
    <col min="5" max="5" width="15.6640625" customWidth="1"/>
    <col min="6" max="6" width="10.33203125" customWidth="1"/>
  </cols>
  <sheetData>
    <row r="1" spans="1:6" x14ac:dyDescent="0.45">
      <c r="A1" s="27" t="s">
        <v>317</v>
      </c>
      <c r="B1" s="31" t="s">
        <v>318</v>
      </c>
      <c r="C1" s="28"/>
      <c r="D1" s="29"/>
      <c r="E1" s="4"/>
      <c r="F1" s="4"/>
    </row>
    <row r="2" spans="1:6" x14ac:dyDescent="0.45">
      <c r="A2" s="30"/>
      <c r="B2" s="4" t="s">
        <v>319</v>
      </c>
      <c r="C2" s="4" t="s">
        <v>320</v>
      </c>
      <c r="D2" s="4" t="s">
        <v>321</v>
      </c>
      <c r="E2" s="4" t="s">
        <v>322</v>
      </c>
      <c r="F2" s="3" t="s">
        <v>323</v>
      </c>
    </row>
    <row r="3" spans="1:6" x14ac:dyDescent="0.45">
      <c r="A3" s="8" t="s">
        <v>11</v>
      </c>
      <c r="B3" s="8">
        <v>1</v>
      </c>
      <c r="C3" s="8">
        <v>1</v>
      </c>
      <c r="D3" s="8">
        <v>1</v>
      </c>
      <c r="E3" s="8">
        <f t="shared" ref="E3:E15" si="0">SUM(B3:D3)</f>
        <v>3</v>
      </c>
      <c r="F3" s="9">
        <f t="shared" ref="F3:F15" si="1">E3/E$16</f>
        <v>1.098901098901099E-2</v>
      </c>
    </row>
    <row r="4" spans="1:6" x14ac:dyDescent="0.45">
      <c r="A4" s="8" t="s">
        <v>81</v>
      </c>
      <c r="B4" s="8">
        <v>2</v>
      </c>
      <c r="C4" s="8">
        <v>2</v>
      </c>
      <c r="D4" s="8">
        <v>7</v>
      </c>
      <c r="E4" s="8">
        <f t="shared" si="0"/>
        <v>11</v>
      </c>
      <c r="F4" s="9">
        <f t="shared" si="1"/>
        <v>4.0293040293040296E-2</v>
      </c>
    </row>
    <row r="5" spans="1:6" x14ac:dyDescent="0.45">
      <c r="A5" s="8" t="s">
        <v>102</v>
      </c>
      <c r="B5" s="8">
        <v>3</v>
      </c>
      <c r="C5" s="8">
        <v>5</v>
      </c>
      <c r="D5" s="8">
        <v>9</v>
      </c>
      <c r="E5" s="8">
        <f t="shared" si="0"/>
        <v>17</v>
      </c>
      <c r="F5" s="9">
        <f t="shared" si="1"/>
        <v>6.2271062271062272E-2</v>
      </c>
    </row>
    <row r="6" spans="1:6" x14ac:dyDescent="0.45">
      <c r="A6" s="8" t="s">
        <v>128</v>
      </c>
      <c r="B6" s="8">
        <v>9</v>
      </c>
      <c r="C6" s="8">
        <v>4</v>
      </c>
      <c r="D6" s="8">
        <v>4</v>
      </c>
      <c r="E6" s="8">
        <f t="shared" si="0"/>
        <v>17</v>
      </c>
      <c r="F6" s="9">
        <f t="shared" si="1"/>
        <v>6.2271062271062272E-2</v>
      </c>
    </row>
    <row r="7" spans="1:6" x14ac:dyDescent="0.45">
      <c r="A7" s="8" t="s">
        <v>162</v>
      </c>
      <c r="B7" s="8">
        <v>11</v>
      </c>
      <c r="C7" s="8">
        <v>3</v>
      </c>
      <c r="D7" s="8">
        <v>5</v>
      </c>
      <c r="E7" s="8">
        <f t="shared" si="0"/>
        <v>19</v>
      </c>
      <c r="F7" s="9">
        <f t="shared" si="1"/>
        <v>6.95970695970696E-2</v>
      </c>
    </row>
    <row r="8" spans="1:6" x14ac:dyDescent="0.45">
      <c r="A8" s="3" t="s">
        <v>179</v>
      </c>
      <c r="B8" s="3">
        <v>13</v>
      </c>
      <c r="C8" s="3">
        <v>7</v>
      </c>
      <c r="D8" s="3">
        <v>3</v>
      </c>
      <c r="E8" s="5">
        <f t="shared" si="0"/>
        <v>23</v>
      </c>
      <c r="F8" s="6">
        <f t="shared" si="1"/>
        <v>8.4249084249084255E-2</v>
      </c>
    </row>
    <row r="9" spans="1:6" x14ac:dyDescent="0.45">
      <c r="A9" s="3" t="s">
        <v>197</v>
      </c>
      <c r="B9" s="5">
        <v>6</v>
      </c>
      <c r="C9" s="5">
        <v>6</v>
      </c>
      <c r="D9" s="5">
        <v>12</v>
      </c>
      <c r="E9" s="5">
        <f t="shared" si="0"/>
        <v>24</v>
      </c>
      <c r="F9" s="6">
        <f t="shared" si="1"/>
        <v>8.7912087912087919E-2</v>
      </c>
    </row>
    <row r="10" spans="1:6" x14ac:dyDescent="0.45">
      <c r="A10" s="3" t="s">
        <v>217</v>
      </c>
      <c r="B10" s="5">
        <v>10</v>
      </c>
      <c r="C10" s="5">
        <v>8</v>
      </c>
      <c r="D10" s="5">
        <v>6</v>
      </c>
      <c r="E10" s="5">
        <f t="shared" si="0"/>
        <v>24</v>
      </c>
      <c r="F10" s="6">
        <f t="shared" si="1"/>
        <v>8.7912087912087919E-2</v>
      </c>
    </row>
    <row r="11" spans="1:6" x14ac:dyDescent="0.45">
      <c r="A11" s="3" t="s">
        <v>237</v>
      </c>
      <c r="B11" s="3">
        <v>5</v>
      </c>
      <c r="C11" s="3">
        <v>10</v>
      </c>
      <c r="D11" s="3">
        <v>10</v>
      </c>
      <c r="E11" s="5">
        <f t="shared" si="0"/>
        <v>25</v>
      </c>
      <c r="F11" s="6">
        <f t="shared" si="1"/>
        <v>9.1575091575091569E-2</v>
      </c>
    </row>
    <row r="12" spans="1:6" x14ac:dyDescent="0.45">
      <c r="A12" s="3" t="s">
        <v>253</v>
      </c>
      <c r="B12" s="3">
        <v>8</v>
      </c>
      <c r="C12" s="3">
        <v>9</v>
      </c>
      <c r="D12" s="3">
        <v>8</v>
      </c>
      <c r="E12" s="5">
        <f t="shared" si="0"/>
        <v>25</v>
      </c>
      <c r="F12" s="6">
        <f t="shared" si="1"/>
        <v>9.1575091575091569E-2</v>
      </c>
    </row>
    <row r="13" spans="1:6" x14ac:dyDescent="0.45">
      <c r="A13" s="3" t="s">
        <v>265</v>
      </c>
      <c r="B13" s="3">
        <v>12</v>
      </c>
      <c r="C13" s="3">
        <v>13</v>
      </c>
      <c r="D13" s="3">
        <v>2</v>
      </c>
      <c r="E13" s="5">
        <f t="shared" si="0"/>
        <v>27</v>
      </c>
      <c r="F13" s="6">
        <f t="shared" si="1"/>
        <v>9.8901098901098897E-2</v>
      </c>
    </row>
    <row r="14" spans="1:6" x14ac:dyDescent="0.45">
      <c r="A14" s="3" t="s">
        <v>279</v>
      </c>
      <c r="B14" s="3">
        <v>4</v>
      </c>
      <c r="C14" s="3">
        <v>11</v>
      </c>
      <c r="D14" s="3">
        <v>13</v>
      </c>
      <c r="E14" s="5">
        <f t="shared" si="0"/>
        <v>28</v>
      </c>
      <c r="F14" s="6">
        <f t="shared" si="1"/>
        <v>0.10256410256410256</v>
      </c>
    </row>
    <row r="15" spans="1:6" x14ac:dyDescent="0.45">
      <c r="A15" s="3" t="s">
        <v>294</v>
      </c>
      <c r="B15" s="5">
        <v>7</v>
      </c>
      <c r="C15" s="5">
        <v>12</v>
      </c>
      <c r="D15" s="5">
        <v>11</v>
      </c>
      <c r="E15" s="5">
        <f t="shared" si="0"/>
        <v>30</v>
      </c>
      <c r="F15" s="6">
        <f t="shared" si="1"/>
        <v>0.10989010989010989</v>
      </c>
    </row>
    <row r="16" spans="1:6" x14ac:dyDescent="0.45">
      <c r="A16" s="3"/>
      <c r="B16" s="3">
        <f>SUM(B3:B15)</f>
        <v>91</v>
      </c>
      <c r="C16" s="3">
        <f>SUM(C3:C15)</f>
        <v>91</v>
      </c>
      <c r="D16" s="3">
        <f>SUM(D3:D15)</f>
        <v>91</v>
      </c>
      <c r="E16" s="3">
        <f>SUM(E3:E15)</f>
        <v>273</v>
      </c>
      <c r="F16" s="6">
        <f>SUM(F3:F15)</f>
        <v>1</v>
      </c>
    </row>
    <row r="18" spans="5:5" x14ac:dyDescent="0.45">
      <c r="E18" t="s">
        <v>324</v>
      </c>
    </row>
  </sheetData>
  <mergeCells count="2">
    <mergeCell ref="B1:D1"/>
    <mergeCell ref="A1:A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63"/>
  <sheetViews>
    <sheetView topLeftCell="B3" zoomScaleNormal="100" workbookViewId="0">
      <selection activeCell="J5" sqref="J5"/>
    </sheetView>
  </sheetViews>
  <sheetFormatPr baseColWidth="10" defaultRowHeight="14.25" x14ac:dyDescent="0.45"/>
  <cols>
    <col min="1" max="1" width="36.19921875" customWidth="1"/>
    <col min="2" max="2" width="60.53125" customWidth="1"/>
    <col min="3" max="3" width="15.6640625" customWidth="1"/>
    <col min="4" max="4" width="19.33203125" customWidth="1"/>
    <col min="5" max="5" width="17.6640625" customWidth="1"/>
    <col min="7" max="7" width="16.46484375" customWidth="1"/>
    <col min="8" max="8" width="12" customWidth="1"/>
    <col min="9" max="9" width="13.46484375" customWidth="1"/>
    <col min="10" max="10" width="14" customWidth="1"/>
    <col min="11" max="11" width="20" customWidth="1"/>
  </cols>
  <sheetData>
    <row r="1" spans="1:11" x14ac:dyDescent="0.45">
      <c r="A1" s="15" t="s">
        <v>0</v>
      </c>
      <c r="B1" s="10" t="s">
        <v>1</v>
      </c>
      <c r="C1" s="17" t="s">
        <v>2</v>
      </c>
      <c r="D1" s="17" t="s">
        <v>3</v>
      </c>
      <c r="E1" s="17" t="s">
        <v>4</v>
      </c>
      <c r="F1" s="17" t="s">
        <v>5</v>
      </c>
      <c r="G1" s="22" t="s">
        <v>6</v>
      </c>
      <c r="H1" s="22" t="s">
        <v>7</v>
      </c>
      <c r="I1" s="22" t="s">
        <v>8</v>
      </c>
      <c r="J1" s="22" t="s">
        <v>9</v>
      </c>
      <c r="K1" s="22" t="s">
        <v>10</v>
      </c>
    </row>
    <row r="2" spans="1:11" ht="25.5" customHeight="1" x14ac:dyDescent="0.45">
      <c r="A2" s="15" t="s">
        <v>11</v>
      </c>
      <c r="B2" s="16" t="s">
        <v>12</v>
      </c>
      <c r="C2" s="17" t="s">
        <v>13</v>
      </c>
      <c r="D2" s="18" t="s">
        <v>13</v>
      </c>
      <c r="E2" s="18" t="s">
        <v>14</v>
      </c>
      <c r="F2" s="19"/>
      <c r="J2">
        <f t="shared" ref="J2:J65" si="0">SUM(G2:I2)</f>
        <v>0</v>
      </c>
    </row>
    <row r="3" spans="1:11" ht="25.5" customHeight="1" x14ac:dyDescent="0.45">
      <c r="A3" s="15" t="s">
        <v>11</v>
      </c>
      <c r="B3" s="16" t="s">
        <v>15</v>
      </c>
      <c r="C3" s="17" t="s">
        <v>14</v>
      </c>
      <c r="D3" s="18" t="s">
        <v>14</v>
      </c>
      <c r="E3" s="18" t="s">
        <v>14</v>
      </c>
      <c r="F3" s="19"/>
      <c r="J3">
        <f t="shared" si="0"/>
        <v>0</v>
      </c>
    </row>
    <row r="4" spans="1:11" ht="25.5" customHeight="1" x14ac:dyDescent="0.45">
      <c r="A4" s="15" t="s">
        <v>11</v>
      </c>
      <c r="B4" s="16" t="s">
        <v>16</v>
      </c>
      <c r="C4" s="17" t="s">
        <v>14</v>
      </c>
      <c r="D4" s="18" t="s">
        <v>14</v>
      </c>
      <c r="E4" s="18" t="s">
        <v>13</v>
      </c>
      <c r="F4" s="19"/>
      <c r="J4">
        <f t="shared" si="0"/>
        <v>0</v>
      </c>
    </row>
    <row r="5" spans="1:11" ht="25.5" customHeight="1" x14ac:dyDescent="0.45">
      <c r="A5" s="15" t="s">
        <v>11</v>
      </c>
      <c r="B5" s="16" t="s">
        <v>17</v>
      </c>
      <c r="C5" s="17" t="s">
        <v>14</v>
      </c>
      <c r="D5" s="20" t="s">
        <v>14</v>
      </c>
      <c r="E5" s="20" t="s">
        <v>14</v>
      </c>
      <c r="F5" s="21"/>
      <c r="J5">
        <f t="shared" si="0"/>
        <v>0</v>
      </c>
    </row>
    <row r="6" spans="1:11" ht="42.75" customHeight="1" x14ac:dyDescent="0.45">
      <c r="A6" s="15" t="s">
        <v>11</v>
      </c>
      <c r="B6" s="16" t="s">
        <v>18</v>
      </c>
      <c r="C6" s="17" t="s">
        <v>13</v>
      </c>
      <c r="D6" s="18" t="s">
        <v>14</v>
      </c>
      <c r="E6" s="18" t="s">
        <v>14</v>
      </c>
      <c r="F6" s="19" t="s">
        <v>19</v>
      </c>
      <c r="J6">
        <f t="shared" si="0"/>
        <v>0</v>
      </c>
    </row>
    <row r="7" spans="1:11" ht="25.5" customHeight="1" x14ac:dyDescent="0.45">
      <c r="A7" s="15" t="s">
        <v>11</v>
      </c>
      <c r="B7" s="16" t="s">
        <v>20</v>
      </c>
      <c r="C7" s="17" t="s">
        <v>14</v>
      </c>
      <c r="D7" s="18" t="s">
        <v>14</v>
      </c>
      <c r="E7" s="18" t="s">
        <v>14</v>
      </c>
      <c r="F7" s="19"/>
      <c r="H7">
        <v>2</v>
      </c>
      <c r="J7">
        <f t="shared" si="0"/>
        <v>2</v>
      </c>
      <c r="K7" t="s">
        <v>14</v>
      </c>
    </row>
    <row r="8" spans="1:11" ht="25.5" customHeight="1" x14ac:dyDescent="0.45">
      <c r="A8" s="15" t="s">
        <v>11</v>
      </c>
      <c r="B8" s="16" t="s">
        <v>21</v>
      </c>
      <c r="C8" s="17" t="s">
        <v>14</v>
      </c>
      <c r="D8" s="18" t="s">
        <v>14</v>
      </c>
      <c r="E8" s="18" t="s">
        <v>13</v>
      </c>
      <c r="F8" s="19"/>
      <c r="J8">
        <f t="shared" si="0"/>
        <v>0</v>
      </c>
    </row>
    <row r="9" spans="1:11" ht="99.75" customHeight="1" x14ac:dyDescent="0.45">
      <c r="A9" s="15" t="s">
        <v>11</v>
      </c>
      <c r="B9" s="16" t="s">
        <v>22</v>
      </c>
      <c r="C9" s="17" t="s">
        <v>14</v>
      </c>
      <c r="D9" s="18" t="s">
        <v>14</v>
      </c>
      <c r="E9" s="18" t="s">
        <v>13</v>
      </c>
      <c r="F9" s="19" t="s">
        <v>23</v>
      </c>
      <c r="J9">
        <f t="shared" si="0"/>
        <v>0</v>
      </c>
    </row>
    <row r="10" spans="1:11" ht="25.5" customHeight="1" x14ac:dyDescent="0.45">
      <c r="A10" s="15" t="s">
        <v>11</v>
      </c>
      <c r="B10" s="16" t="s">
        <v>24</v>
      </c>
      <c r="C10" s="17" t="s">
        <v>14</v>
      </c>
      <c r="D10" s="18" t="s">
        <v>14</v>
      </c>
      <c r="E10" s="18" t="s">
        <v>14</v>
      </c>
      <c r="F10" s="19"/>
      <c r="H10">
        <v>1</v>
      </c>
      <c r="J10">
        <f t="shared" si="0"/>
        <v>1</v>
      </c>
      <c r="K10" t="s">
        <v>14</v>
      </c>
    </row>
    <row r="11" spans="1:11" ht="25.5" customHeight="1" x14ac:dyDescent="0.45">
      <c r="A11" s="15" t="s">
        <v>11</v>
      </c>
      <c r="B11" s="16" t="s">
        <v>25</v>
      </c>
      <c r="C11" s="17" t="s">
        <v>14</v>
      </c>
      <c r="D11" s="20" t="s">
        <v>14</v>
      </c>
      <c r="E11" s="20" t="s">
        <v>14</v>
      </c>
      <c r="F11" s="21"/>
      <c r="G11">
        <v>3</v>
      </c>
      <c r="H11">
        <v>3</v>
      </c>
      <c r="J11">
        <f t="shared" si="0"/>
        <v>6</v>
      </c>
      <c r="K11" t="s">
        <v>14</v>
      </c>
    </row>
    <row r="12" spans="1:11" ht="38.25" customHeight="1" x14ac:dyDescent="0.45">
      <c r="A12" s="15" t="s">
        <v>11</v>
      </c>
      <c r="B12" s="16" t="s">
        <v>26</v>
      </c>
      <c r="C12" s="17" t="s">
        <v>13</v>
      </c>
      <c r="D12" s="18" t="s">
        <v>13</v>
      </c>
      <c r="E12" s="18" t="s">
        <v>14</v>
      </c>
      <c r="F12" s="19"/>
      <c r="J12">
        <f t="shared" si="0"/>
        <v>0</v>
      </c>
    </row>
    <row r="13" spans="1:11" ht="25.5" customHeight="1" x14ac:dyDescent="0.45">
      <c r="A13" s="15" t="s">
        <v>11</v>
      </c>
      <c r="B13" s="16" t="s">
        <v>27</v>
      </c>
      <c r="C13" s="17" t="s">
        <v>14</v>
      </c>
      <c r="D13" s="18" t="s">
        <v>14</v>
      </c>
      <c r="E13" s="18" t="s">
        <v>14</v>
      </c>
      <c r="F13" s="19"/>
      <c r="H13">
        <v>1</v>
      </c>
      <c r="J13">
        <f t="shared" si="0"/>
        <v>1</v>
      </c>
      <c r="K13" t="s">
        <v>14</v>
      </c>
    </row>
    <row r="14" spans="1:11" ht="25.5" customHeight="1" x14ac:dyDescent="0.45">
      <c r="A14" s="15" t="s">
        <v>11</v>
      </c>
      <c r="B14" s="16" t="s">
        <v>28</v>
      </c>
      <c r="C14" s="17" t="s">
        <v>14</v>
      </c>
      <c r="D14" s="18" t="s">
        <v>14</v>
      </c>
      <c r="E14" s="18" t="s">
        <v>14</v>
      </c>
      <c r="F14" s="19"/>
      <c r="H14">
        <v>3</v>
      </c>
      <c r="I14">
        <v>1</v>
      </c>
      <c r="J14">
        <f t="shared" si="0"/>
        <v>4</v>
      </c>
      <c r="K14" t="s">
        <v>14</v>
      </c>
    </row>
    <row r="15" spans="1:11" ht="25.5" customHeight="1" x14ac:dyDescent="0.45">
      <c r="A15" s="15" t="s">
        <v>11</v>
      </c>
      <c r="B15" s="16" t="s">
        <v>29</v>
      </c>
      <c r="C15" s="17" t="s">
        <v>14</v>
      </c>
      <c r="D15" s="18" t="s">
        <v>14</v>
      </c>
      <c r="E15" s="18" t="s">
        <v>14</v>
      </c>
      <c r="F15" s="19"/>
      <c r="G15">
        <v>1</v>
      </c>
      <c r="J15">
        <f t="shared" si="0"/>
        <v>1</v>
      </c>
      <c r="K15" t="s">
        <v>14</v>
      </c>
    </row>
    <row r="16" spans="1:11" ht="25.5" customHeight="1" x14ac:dyDescent="0.45">
      <c r="A16" s="15" t="s">
        <v>11</v>
      </c>
      <c r="B16" s="16" t="s">
        <v>30</v>
      </c>
      <c r="C16" s="17" t="s">
        <v>14</v>
      </c>
      <c r="D16" s="20" t="s">
        <v>14</v>
      </c>
      <c r="E16" s="20" t="s">
        <v>14</v>
      </c>
      <c r="F16" s="21"/>
      <c r="G16">
        <v>2</v>
      </c>
      <c r="J16">
        <f t="shared" si="0"/>
        <v>2</v>
      </c>
      <c r="K16" t="s">
        <v>14</v>
      </c>
    </row>
    <row r="17" spans="1:11" ht="25.5" customHeight="1" x14ac:dyDescent="0.45">
      <c r="A17" s="15" t="s">
        <v>11</v>
      </c>
      <c r="B17" s="16" t="s">
        <v>31</v>
      </c>
      <c r="C17" s="17" t="s">
        <v>14</v>
      </c>
      <c r="D17" s="18" t="s">
        <v>14</v>
      </c>
      <c r="E17" s="18" t="s">
        <v>14</v>
      </c>
      <c r="F17" s="19"/>
      <c r="J17">
        <f t="shared" si="0"/>
        <v>0</v>
      </c>
    </row>
    <row r="18" spans="1:11" ht="57" customHeight="1" x14ac:dyDescent="0.45">
      <c r="A18" s="15" t="s">
        <v>11</v>
      </c>
      <c r="B18" s="16" t="s">
        <v>32</v>
      </c>
      <c r="C18" s="17" t="s">
        <v>13</v>
      </c>
      <c r="D18" s="18" t="s">
        <v>13</v>
      </c>
      <c r="E18" s="18" t="s">
        <v>13</v>
      </c>
      <c r="F18" s="19" t="s">
        <v>33</v>
      </c>
      <c r="J18">
        <f t="shared" si="0"/>
        <v>0</v>
      </c>
    </row>
    <row r="19" spans="1:11" ht="25.5" customHeight="1" x14ac:dyDescent="0.45">
      <c r="A19" s="15" t="s">
        <v>11</v>
      </c>
      <c r="B19" s="16" t="s">
        <v>34</v>
      </c>
      <c r="C19" s="17" t="s">
        <v>14</v>
      </c>
      <c r="D19" s="20" t="s">
        <v>14</v>
      </c>
      <c r="E19" s="20" t="s">
        <v>14</v>
      </c>
      <c r="F19" s="21"/>
      <c r="G19">
        <v>1</v>
      </c>
      <c r="I19">
        <v>2</v>
      </c>
      <c r="J19">
        <f t="shared" si="0"/>
        <v>3</v>
      </c>
      <c r="K19" t="s">
        <v>14</v>
      </c>
    </row>
    <row r="20" spans="1:11" ht="38.25" customHeight="1" x14ac:dyDescent="0.45">
      <c r="A20" s="15" t="s">
        <v>11</v>
      </c>
      <c r="B20" s="16" t="s">
        <v>35</v>
      </c>
      <c r="C20" s="17" t="s">
        <v>13</v>
      </c>
      <c r="D20" s="18" t="s">
        <v>13</v>
      </c>
      <c r="E20" s="18" t="s">
        <v>13</v>
      </c>
      <c r="F20" s="19"/>
      <c r="J20">
        <f t="shared" si="0"/>
        <v>0</v>
      </c>
    </row>
    <row r="21" spans="1:11" ht="38.25" customHeight="1" x14ac:dyDescent="0.45">
      <c r="A21" s="15" t="s">
        <v>11</v>
      </c>
      <c r="B21" s="16" t="s">
        <v>36</v>
      </c>
      <c r="C21" s="17" t="s">
        <v>14</v>
      </c>
      <c r="D21" s="20" t="s">
        <v>14</v>
      </c>
      <c r="E21" s="20" t="s">
        <v>14</v>
      </c>
      <c r="F21" s="21"/>
      <c r="G21">
        <v>1</v>
      </c>
      <c r="J21">
        <f t="shared" si="0"/>
        <v>1</v>
      </c>
      <c r="K21" t="s">
        <v>13</v>
      </c>
    </row>
    <row r="22" spans="1:11" ht="25.5" customHeight="1" x14ac:dyDescent="0.45">
      <c r="A22" s="15" t="s">
        <v>11</v>
      </c>
      <c r="B22" s="16" t="s">
        <v>37</v>
      </c>
      <c r="C22" s="17" t="s">
        <v>13</v>
      </c>
      <c r="D22" s="18" t="s">
        <v>13</v>
      </c>
      <c r="E22" s="18" t="s">
        <v>14</v>
      </c>
      <c r="F22" s="19"/>
      <c r="J22">
        <f t="shared" si="0"/>
        <v>0</v>
      </c>
    </row>
    <row r="23" spans="1:11" ht="57" customHeight="1" x14ac:dyDescent="0.45">
      <c r="A23" s="15" t="s">
        <v>11</v>
      </c>
      <c r="B23" s="16" t="s">
        <v>38</v>
      </c>
      <c r="C23" s="17" t="s">
        <v>14</v>
      </c>
      <c r="D23" s="18" t="s">
        <v>14</v>
      </c>
      <c r="E23" s="18" t="s">
        <v>13</v>
      </c>
      <c r="F23" s="19" t="s">
        <v>39</v>
      </c>
      <c r="J23">
        <f t="shared" si="0"/>
        <v>0</v>
      </c>
    </row>
    <row r="24" spans="1:11" ht="25.5" customHeight="1" x14ac:dyDescent="0.45">
      <c r="A24" s="15" t="s">
        <v>11</v>
      </c>
      <c r="B24" s="16" t="s">
        <v>40</v>
      </c>
      <c r="C24" s="17" t="s">
        <v>13</v>
      </c>
      <c r="D24" s="18" t="s">
        <v>13</v>
      </c>
      <c r="E24" s="18" t="s">
        <v>13</v>
      </c>
      <c r="F24" s="19"/>
      <c r="J24">
        <f t="shared" si="0"/>
        <v>0</v>
      </c>
    </row>
    <row r="25" spans="1:11" ht="25.5" customHeight="1" x14ac:dyDescent="0.45">
      <c r="A25" s="15" t="s">
        <v>11</v>
      </c>
      <c r="B25" s="16" t="s">
        <v>41</v>
      </c>
      <c r="C25" s="17" t="s">
        <v>13</v>
      </c>
      <c r="D25" s="18" t="s">
        <v>13</v>
      </c>
      <c r="E25" s="18" t="s">
        <v>13</v>
      </c>
      <c r="F25" s="19"/>
      <c r="J25">
        <f t="shared" si="0"/>
        <v>0</v>
      </c>
    </row>
    <row r="26" spans="1:11" ht="25.5" customHeight="1" x14ac:dyDescent="0.45">
      <c r="A26" s="15" t="s">
        <v>11</v>
      </c>
      <c r="B26" s="16" t="s">
        <v>42</v>
      </c>
      <c r="C26" s="17" t="s">
        <v>13</v>
      </c>
      <c r="D26" s="18" t="s">
        <v>13</v>
      </c>
      <c r="E26" s="18" t="s">
        <v>13</v>
      </c>
      <c r="F26" s="19"/>
      <c r="J26">
        <f t="shared" si="0"/>
        <v>0</v>
      </c>
    </row>
    <row r="27" spans="1:11" ht="25.5" customHeight="1" x14ac:dyDescent="0.45">
      <c r="A27" s="15" t="s">
        <v>11</v>
      </c>
      <c r="B27" s="16" t="s">
        <v>43</v>
      </c>
      <c r="C27" s="17" t="s">
        <v>14</v>
      </c>
      <c r="D27" s="20" t="s">
        <v>14</v>
      </c>
      <c r="E27" s="20" t="s">
        <v>14</v>
      </c>
      <c r="F27" s="21"/>
      <c r="G27">
        <v>4</v>
      </c>
      <c r="J27">
        <f t="shared" si="0"/>
        <v>4</v>
      </c>
      <c r="K27" t="s">
        <v>14</v>
      </c>
    </row>
    <row r="28" spans="1:11" x14ac:dyDescent="0.45">
      <c r="A28" s="15" t="s">
        <v>11</v>
      </c>
      <c r="B28" s="16" t="s">
        <v>44</v>
      </c>
      <c r="C28" s="17" t="s">
        <v>14</v>
      </c>
      <c r="D28" s="18" t="s">
        <v>14</v>
      </c>
      <c r="E28" s="18" t="s">
        <v>14</v>
      </c>
      <c r="F28" s="19"/>
      <c r="I28">
        <v>1</v>
      </c>
      <c r="J28">
        <f t="shared" si="0"/>
        <v>1</v>
      </c>
      <c r="K28" t="s">
        <v>14</v>
      </c>
    </row>
    <row r="29" spans="1:11" ht="25.5" customHeight="1" x14ac:dyDescent="0.45">
      <c r="A29" s="15" t="s">
        <v>11</v>
      </c>
      <c r="B29" s="16" t="s">
        <v>45</v>
      </c>
      <c r="C29" s="17" t="s">
        <v>13</v>
      </c>
      <c r="D29" s="18" t="s">
        <v>13</v>
      </c>
      <c r="E29" s="18" t="s">
        <v>13</v>
      </c>
      <c r="F29" s="19"/>
      <c r="J29">
        <f t="shared" si="0"/>
        <v>0</v>
      </c>
    </row>
    <row r="30" spans="1:11" x14ac:dyDescent="0.45">
      <c r="A30" s="15" t="s">
        <v>11</v>
      </c>
      <c r="B30" s="16" t="s">
        <v>46</v>
      </c>
      <c r="C30" s="17" t="s">
        <v>13</v>
      </c>
      <c r="D30" s="18" t="s">
        <v>13</v>
      </c>
      <c r="E30" s="18" t="s">
        <v>13</v>
      </c>
      <c r="F30" s="19"/>
      <c r="J30">
        <f t="shared" si="0"/>
        <v>0</v>
      </c>
    </row>
    <row r="31" spans="1:11" ht="25.5" customHeight="1" x14ac:dyDescent="0.45">
      <c r="A31" s="15" t="s">
        <v>11</v>
      </c>
      <c r="B31" s="16" t="s">
        <v>47</v>
      </c>
      <c r="C31" s="17" t="s">
        <v>13</v>
      </c>
      <c r="D31" s="18" t="s">
        <v>13</v>
      </c>
      <c r="E31" s="18" t="s">
        <v>13</v>
      </c>
      <c r="F31" s="19"/>
      <c r="J31">
        <f t="shared" si="0"/>
        <v>0</v>
      </c>
    </row>
    <row r="32" spans="1:11" ht="25.5" customHeight="1" x14ac:dyDescent="0.45">
      <c r="A32" s="15" t="s">
        <v>11</v>
      </c>
      <c r="B32" s="16" t="s">
        <v>48</v>
      </c>
      <c r="C32" s="17" t="s">
        <v>13</v>
      </c>
      <c r="D32" s="18" t="s">
        <v>13</v>
      </c>
      <c r="E32" s="18" t="s">
        <v>13</v>
      </c>
      <c r="F32" s="19"/>
      <c r="J32">
        <f t="shared" si="0"/>
        <v>0</v>
      </c>
    </row>
    <row r="33" spans="1:11" ht="57" customHeight="1" x14ac:dyDescent="0.45">
      <c r="A33" s="15" t="s">
        <v>11</v>
      </c>
      <c r="B33" s="16" t="s">
        <v>49</v>
      </c>
      <c r="C33" s="17" t="s">
        <v>14</v>
      </c>
      <c r="D33" s="18" t="s">
        <v>14</v>
      </c>
      <c r="E33" s="18" t="s">
        <v>13</v>
      </c>
      <c r="F33" s="19" t="s">
        <v>50</v>
      </c>
      <c r="J33">
        <f t="shared" si="0"/>
        <v>0</v>
      </c>
    </row>
    <row r="34" spans="1:11" ht="25.5" customHeight="1" x14ac:dyDescent="0.45">
      <c r="A34" s="15" t="s">
        <v>11</v>
      </c>
      <c r="B34" s="16" t="s">
        <v>51</v>
      </c>
      <c r="C34" s="17" t="s">
        <v>13</v>
      </c>
      <c r="D34" s="18" t="s">
        <v>13</v>
      </c>
      <c r="E34" s="18" t="s">
        <v>14</v>
      </c>
      <c r="F34" s="19"/>
      <c r="J34">
        <f t="shared" si="0"/>
        <v>0</v>
      </c>
    </row>
    <row r="35" spans="1:11" ht="25.5" customHeight="1" x14ac:dyDescent="0.45">
      <c r="A35" s="15" t="s">
        <v>11</v>
      </c>
      <c r="B35" s="16" t="s">
        <v>52</v>
      </c>
      <c r="C35" s="17" t="s">
        <v>14</v>
      </c>
      <c r="D35" s="20" t="s">
        <v>14</v>
      </c>
      <c r="E35" s="20" t="s">
        <v>14</v>
      </c>
      <c r="F35" s="21"/>
      <c r="H35">
        <v>4</v>
      </c>
      <c r="J35">
        <f t="shared" si="0"/>
        <v>4</v>
      </c>
      <c r="K35" t="s">
        <v>14</v>
      </c>
    </row>
    <row r="36" spans="1:11" ht="28.5" customHeight="1" x14ac:dyDescent="0.45">
      <c r="A36" s="15" t="s">
        <v>11</v>
      </c>
      <c r="B36" s="16" t="s">
        <v>53</v>
      </c>
      <c r="C36" s="17" t="s">
        <v>13</v>
      </c>
      <c r="D36" s="18" t="s">
        <v>13</v>
      </c>
      <c r="E36" s="18" t="s">
        <v>14</v>
      </c>
      <c r="F36" s="19" t="s">
        <v>54</v>
      </c>
      <c r="J36">
        <f t="shared" si="0"/>
        <v>0</v>
      </c>
    </row>
    <row r="37" spans="1:11" ht="57" customHeight="1" x14ac:dyDescent="0.45">
      <c r="A37" s="15" t="s">
        <v>11</v>
      </c>
      <c r="B37" s="16" t="s">
        <v>55</v>
      </c>
      <c r="C37" s="17" t="s">
        <v>14</v>
      </c>
      <c r="D37" s="20" t="s">
        <v>14</v>
      </c>
      <c r="E37" s="20" t="s">
        <v>14</v>
      </c>
      <c r="F37" s="21" t="s">
        <v>56</v>
      </c>
      <c r="H37">
        <v>4</v>
      </c>
      <c r="J37">
        <f t="shared" si="0"/>
        <v>4</v>
      </c>
      <c r="K37" t="s">
        <v>14</v>
      </c>
    </row>
    <row r="38" spans="1:11" ht="25.5" customHeight="1" x14ac:dyDescent="0.45">
      <c r="A38" s="15" t="s">
        <v>11</v>
      </c>
      <c r="B38" s="16" t="s">
        <v>57</v>
      </c>
      <c r="C38" s="17" t="s">
        <v>13</v>
      </c>
      <c r="D38" s="18" t="s">
        <v>13</v>
      </c>
      <c r="E38" s="18" t="s">
        <v>13</v>
      </c>
      <c r="F38" s="19"/>
      <c r="J38">
        <f t="shared" si="0"/>
        <v>0</v>
      </c>
    </row>
    <row r="39" spans="1:11" ht="42.75" customHeight="1" x14ac:dyDescent="0.45">
      <c r="A39" s="15" t="s">
        <v>11</v>
      </c>
      <c r="B39" s="16" t="s">
        <v>58</v>
      </c>
      <c r="C39" s="17" t="s">
        <v>14</v>
      </c>
      <c r="D39" s="18" t="s">
        <v>13</v>
      </c>
      <c r="E39" s="18" t="s">
        <v>13</v>
      </c>
      <c r="F39" s="19" t="s">
        <v>59</v>
      </c>
      <c r="J39">
        <f t="shared" si="0"/>
        <v>0</v>
      </c>
    </row>
    <row r="40" spans="1:11" ht="25.5" customHeight="1" x14ac:dyDescent="0.45">
      <c r="A40" s="15" t="s">
        <v>11</v>
      </c>
      <c r="B40" s="16" t="s">
        <v>60</v>
      </c>
      <c r="C40" s="17" t="s">
        <v>13</v>
      </c>
      <c r="D40" s="18" t="s">
        <v>13</v>
      </c>
      <c r="E40" s="18" t="s">
        <v>13</v>
      </c>
      <c r="F40" s="19"/>
      <c r="J40">
        <f t="shared" si="0"/>
        <v>0</v>
      </c>
    </row>
    <row r="41" spans="1:11" ht="25.5" customHeight="1" x14ac:dyDescent="0.45">
      <c r="A41" s="15" t="s">
        <v>11</v>
      </c>
      <c r="B41" s="16" t="s">
        <v>61</v>
      </c>
      <c r="C41" s="17" t="s">
        <v>14</v>
      </c>
      <c r="D41" s="18" t="s">
        <v>14</v>
      </c>
      <c r="E41" s="18" t="s">
        <v>13</v>
      </c>
      <c r="F41" s="19"/>
      <c r="J41">
        <f t="shared" si="0"/>
        <v>0</v>
      </c>
    </row>
    <row r="42" spans="1:11" ht="25.5" customHeight="1" x14ac:dyDescent="0.45">
      <c r="A42" s="15" t="s">
        <v>11</v>
      </c>
      <c r="B42" s="16" t="s">
        <v>62</v>
      </c>
      <c r="C42" s="17" t="s">
        <v>14</v>
      </c>
      <c r="D42" s="18" t="s">
        <v>14</v>
      </c>
      <c r="E42" s="18" t="s">
        <v>14</v>
      </c>
      <c r="F42" s="19"/>
      <c r="J42">
        <f t="shared" si="0"/>
        <v>0</v>
      </c>
    </row>
    <row r="43" spans="1:11" ht="25.5" customHeight="1" x14ac:dyDescent="0.45">
      <c r="A43" s="15" t="s">
        <v>11</v>
      </c>
      <c r="B43" s="16" t="s">
        <v>63</v>
      </c>
      <c r="C43" s="17" t="s">
        <v>14</v>
      </c>
      <c r="D43" s="20" t="s">
        <v>14</v>
      </c>
      <c r="E43" s="20" t="s">
        <v>14</v>
      </c>
      <c r="F43" s="21"/>
      <c r="G43">
        <v>1</v>
      </c>
      <c r="J43">
        <f t="shared" si="0"/>
        <v>1</v>
      </c>
      <c r="K43" t="s">
        <v>13</v>
      </c>
    </row>
    <row r="44" spans="1:11" ht="25.5" customHeight="1" x14ac:dyDescent="0.45">
      <c r="A44" s="15" t="s">
        <v>11</v>
      </c>
      <c r="B44" s="16" t="s">
        <v>64</v>
      </c>
      <c r="C44" s="17" t="s">
        <v>14</v>
      </c>
      <c r="D44" s="20" t="s">
        <v>14</v>
      </c>
      <c r="E44" s="20" t="s">
        <v>14</v>
      </c>
      <c r="F44" s="21"/>
      <c r="G44">
        <v>5</v>
      </c>
      <c r="H44">
        <v>5</v>
      </c>
      <c r="J44">
        <f t="shared" si="0"/>
        <v>10</v>
      </c>
      <c r="K44" t="s">
        <v>14</v>
      </c>
    </row>
    <row r="45" spans="1:11" ht="25.5" customHeight="1" x14ac:dyDescent="0.45">
      <c r="A45" s="15" t="s">
        <v>11</v>
      </c>
      <c r="B45" s="16" t="s">
        <v>65</v>
      </c>
      <c r="C45" s="17" t="s">
        <v>14</v>
      </c>
      <c r="D45" s="18" t="s">
        <v>14</v>
      </c>
      <c r="E45" s="18" t="s">
        <v>14</v>
      </c>
      <c r="F45" s="19"/>
      <c r="G45">
        <v>4</v>
      </c>
      <c r="J45">
        <f t="shared" si="0"/>
        <v>4</v>
      </c>
      <c r="K45" t="s">
        <v>14</v>
      </c>
    </row>
    <row r="46" spans="1:11" ht="25.5" customHeight="1" x14ac:dyDescent="0.45">
      <c r="A46" s="15" t="s">
        <v>11</v>
      </c>
      <c r="B46" s="16" t="s">
        <v>66</v>
      </c>
      <c r="C46" s="17" t="s">
        <v>14</v>
      </c>
      <c r="D46" s="20" t="s">
        <v>14</v>
      </c>
      <c r="E46" s="20" t="s">
        <v>14</v>
      </c>
      <c r="F46" s="21"/>
      <c r="G46">
        <v>3</v>
      </c>
      <c r="J46">
        <f t="shared" si="0"/>
        <v>3</v>
      </c>
      <c r="K46" t="s">
        <v>14</v>
      </c>
    </row>
    <row r="47" spans="1:11" ht="25.5" customHeight="1" x14ac:dyDescent="0.45">
      <c r="A47" s="15" t="s">
        <v>11</v>
      </c>
      <c r="B47" s="16" t="s">
        <v>67</v>
      </c>
      <c r="C47" s="17" t="s">
        <v>14</v>
      </c>
      <c r="D47" s="20" t="s">
        <v>14</v>
      </c>
      <c r="E47" s="20" t="s">
        <v>14</v>
      </c>
      <c r="F47" s="21"/>
      <c r="J47">
        <f t="shared" si="0"/>
        <v>0</v>
      </c>
    </row>
    <row r="48" spans="1:11" ht="25.5" customHeight="1" x14ac:dyDescent="0.45">
      <c r="A48" s="15" t="s">
        <v>11</v>
      </c>
      <c r="B48" s="16" t="s">
        <v>68</v>
      </c>
      <c r="C48" s="17" t="s">
        <v>14</v>
      </c>
      <c r="D48" s="20" t="s">
        <v>14</v>
      </c>
      <c r="E48" s="20" t="s">
        <v>14</v>
      </c>
      <c r="F48" s="21"/>
      <c r="J48">
        <f t="shared" si="0"/>
        <v>0</v>
      </c>
    </row>
    <row r="49" spans="1:11" ht="25.5" customHeight="1" x14ac:dyDescent="0.45">
      <c r="A49" s="15" t="s">
        <v>11</v>
      </c>
      <c r="B49" s="16" t="s">
        <v>69</v>
      </c>
      <c r="C49" s="17" t="s">
        <v>14</v>
      </c>
      <c r="D49" s="20" t="s">
        <v>14</v>
      </c>
      <c r="E49" s="20" t="s">
        <v>14</v>
      </c>
      <c r="F49" s="21"/>
      <c r="I49">
        <v>5</v>
      </c>
      <c r="J49">
        <f t="shared" si="0"/>
        <v>5</v>
      </c>
      <c r="K49" t="s">
        <v>14</v>
      </c>
    </row>
    <row r="50" spans="1:11" ht="25.5" customHeight="1" x14ac:dyDescent="0.45">
      <c r="A50" s="15" t="s">
        <v>11</v>
      </c>
      <c r="B50" s="16" t="s">
        <v>70</v>
      </c>
      <c r="C50" s="17" t="s">
        <v>14</v>
      </c>
      <c r="D50" s="18" t="s">
        <v>13</v>
      </c>
      <c r="E50" s="18" t="s">
        <v>14</v>
      </c>
      <c r="F50" s="19"/>
      <c r="J50">
        <f t="shared" si="0"/>
        <v>0</v>
      </c>
    </row>
    <row r="51" spans="1:11" ht="25.5" customHeight="1" x14ac:dyDescent="0.45">
      <c r="A51" s="15" t="s">
        <v>11</v>
      </c>
      <c r="B51" s="16" t="s">
        <v>71</v>
      </c>
      <c r="C51" s="17" t="s">
        <v>14</v>
      </c>
      <c r="D51" s="18" t="s">
        <v>14</v>
      </c>
      <c r="E51" s="18" t="s">
        <v>13</v>
      </c>
      <c r="F51" s="19"/>
      <c r="J51">
        <f t="shared" si="0"/>
        <v>0</v>
      </c>
    </row>
    <row r="52" spans="1:11" ht="25.5" customHeight="1" x14ac:dyDescent="0.45">
      <c r="A52" s="15" t="s">
        <v>11</v>
      </c>
      <c r="B52" s="16" t="s">
        <v>72</v>
      </c>
      <c r="C52" s="17" t="s">
        <v>14</v>
      </c>
      <c r="D52" s="18" t="s">
        <v>14</v>
      </c>
      <c r="E52" s="18" t="s">
        <v>13</v>
      </c>
      <c r="F52" s="19"/>
      <c r="J52">
        <f t="shared" si="0"/>
        <v>0</v>
      </c>
    </row>
    <row r="53" spans="1:11" ht="25.5" customHeight="1" x14ac:dyDescent="0.45">
      <c r="A53" s="15" t="s">
        <v>11</v>
      </c>
      <c r="B53" s="16" t="s">
        <v>73</v>
      </c>
      <c r="C53" s="17" t="s">
        <v>14</v>
      </c>
      <c r="D53" s="18" t="s">
        <v>14</v>
      </c>
      <c r="E53" s="18" t="s">
        <v>14</v>
      </c>
      <c r="F53" s="19"/>
      <c r="J53">
        <f t="shared" si="0"/>
        <v>0</v>
      </c>
    </row>
    <row r="54" spans="1:11" ht="28.5" customHeight="1" x14ac:dyDescent="0.45">
      <c r="A54" s="15" t="s">
        <v>11</v>
      </c>
      <c r="B54" s="16" t="s">
        <v>74</v>
      </c>
      <c r="C54" s="17" t="s">
        <v>13</v>
      </c>
      <c r="D54" s="18" t="s">
        <v>13</v>
      </c>
      <c r="E54" s="18" t="s">
        <v>13</v>
      </c>
      <c r="F54" s="19" t="s">
        <v>75</v>
      </c>
      <c r="J54">
        <f t="shared" si="0"/>
        <v>0</v>
      </c>
    </row>
    <row r="55" spans="1:11" ht="25.5" customHeight="1" x14ac:dyDescent="0.45">
      <c r="A55" s="15" t="s">
        <v>11</v>
      </c>
      <c r="B55" s="16" t="s">
        <v>76</v>
      </c>
      <c r="C55" s="17" t="s">
        <v>14</v>
      </c>
      <c r="D55" s="18" t="s">
        <v>14</v>
      </c>
      <c r="E55" s="18" t="s">
        <v>13</v>
      </c>
      <c r="F55" s="19"/>
      <c r="J55">
        <f t="shared" si="0"/>
        <v>0</v>
      </c>
    </row>
    <row r="56" spans="1:11" ht="42.75" customHeight="1" x14ac:dyDescent="0.45">
      <c r="A56" s="15" t="s">
        <v>11</v>
      </c>
      <c r="B56" s="16" t="s">
        <v>77</v>
      </c>
      <c r="C56" s="17" t="s">
        <v>13</v>
      </c>
      <c r="D56" s="18" t="s">
        <v>13</v>
      </c>
      <c r="E56" s="18" t="s">
        <v>13</v>
      </c>
      <c r="F56" s="19" t="s">
        <v>78</v>
      </c>
      <c r="J56">
        <f t="shared" si="0"/>
        <v>0</v>
      </c>
    </row>
    <row r="57" spans="1:11" ht="25.5" customHeight="1" x14ac:dyDescent="0.45">
      <c r="A57" s="15" t="s">
        <v>11</v>
      </c>
      <c r="B57" s="16" t="s">
        <v>79</v>
      </c>
      <c r="C57" s="17" t="s">
        <v>14</v>
      </c>
      <c r="D57" s="18" t="s">
        <v>14</v>
      </c>
      <c r="E57" s="18" t="s">
        <v>13</v>
      </c>
      <c r="F57" s="19"/>
      <c r="I57">
        <v>3</v>
      </c>
      <c r="J57">
        <f t="shared" si="0"/>
        <v>3</v>
      </c>
      <c r="K57" t="s">
        <v>14</v>
      </c>
    </row>
    <row r="58" spans="1:11" ht="25.5" customHeight="1" x14ac:dyDescent="0.45">
      <c r="A58" s="15" t="s">
        <v>11</v>
      </c>
      <c r="B58" s="16" t="s">
        <v>80</v>
      </c>
      <c r="C58" s="17" t="s">
        <v>14</v>
      </c>
      <c r="D58" s="18" t="s">
        <v>14</v>
      </c>
      <c r="E58" s="18" t="s">
        <v>14</v>
      </c>
      <c r="F58" s="19"/>
      <c r="G58">
        <v>2</v>
      </c>
      <c r="J58">
        <f t="shared" si="0"/>
        <v>2</v>
      </c>
      <c r="K58" t="s">
        <v>14</v>
      </c>
    </row>
    <row r="59" spans="1:11" ht="25.5" customHeight="1" x14ac:dyDescent="0.45">
      <c r="A59" s="15" t="s">
        <v>81</v>
      </c>
      <c r="B59" s="16" t="s">
        <v>82</v>
      </c>
      <c r="C59" s="17" t="s">
        <v>14</v>
      </c>
      <c r="D59" s="20" t="s">
        <v>14</v>
      </c>
      <c r="E59" s="20" t="s">
        <v>14</v>
      </c>
      <c r="F59" s="21"/>
      <c r="G59">
        <v>5</v>
      </c>
      <c r="J59">
        <f t="shared" si="0"/>
        <v>5</v>
      </c>
      <c r="K59" t="s">
        <v>14</v>
      </c>
    </row>
    <row r="60" spans="1:11" ht="25.5" customHeight="1" x14ac:dyDescent="0.45">
      <c r="A60" s="15" t="s">
        <v>81</v>
      </c>
      <c r="B60" s="16" t="s">
        <v>83</v>
      </c>
      <c r="C60" s="17" t="s">
        <v>13</v>
      </c>
      <c r="D60" s="18" t="s">
        <v>13</v>
      </c>
      <c r="E60" s="18" t="s">
        <v>14</v>
      </c>
      <c r="F60" s="19"/>
      <c r="J60">
        <f t="shared" si="0"/>
        <v>0</v>
      </c>
    </row>
    <row r="61" spans="1:11" x14ac:dyDescent="0.45">
      <c r="A61" s="15" t="s">
        <v>81</v>
      </c>
      <c r="B61" s="16" t="s">
        <v>84</v>
      </c>
      <c r="C61" s="17" t="s">
        <v>13</v>
      </c>
      <c r="D61" s="18" t="s">
        <v>13</v>
      </c>
      <c r="E61" s="18" t="s">
        <v>14</v>
      </c>
      <c r="F61" s="19"/>
      <c r="J61">
        <f t="shared" si="0"/>
        <v>0</v>
      </c>
    </row>
    <row r="62" spans="1:11" x14ac:dyDescent="0.45">
      <c r="A62" s="15" t="s">
        <v>81</v>
      </c>
      <c r="B62" s="16" t="s">
        <v>85</v>
      </c>
      <c r="C62" s="17" t="s">
        <v>13</v>
      </c>
      <c r="D62" s="18" t="s">
        <v>13</v>
      </c>
      <c r="E62" s="18" t="s">
        <v>14</v>
      </c>
      <c r="F62" s="19"/>
      <c r="J62">
        <f t="shared" si="0"/>
        <v>0</v>
      </c>
    </row>
    <row r="63" spans="1:11" x14ac:dyDescent="0.45">
      <c r="A63" s="15" t="s">
        <v>81</v>
      </c>
      <c r="B63" s="16" t="s">
        <v>86</v>
      </c>
      <c r="C63" s="17" t="s">
        <v>13</v>
      </c>
      <c r="D63" s="18" t="s">
        <v>13</v>
      </c>
      <c r="E63" s="18" t="s">
        <v>14</v>
      </c>
      <c r="F63" s="19"/>
      <c r="J63">
        <f t="shared" si="0"/>
        <v>0</v>
      </c>
    </row>
    <row r="64" spans="1:11" ht="25.5" customHeight="1" x14ac:dyDescent="0.45">
      <c r="A64" s="15" t="s">
        <v>81</v>
      </c>
      <c r="B64" s="16" t="s">
        <v>87</v>
      </c>
      <c r="C64" s="17" t="s">
        <v>13</v>
      </c>
      <c r="D64" s="18" t="s">
        <v>13</v>
      </c>
      <c r="E64" s="18" t="s">
        <v>13</v>
      </c>
      <c r="F64" s="19"/>
      <c r="J64">
        <f t="shared" si="0"/>
        <v>0</v>
      </c>
    </row>
    <row r="65" spans="1:11" ht="25.5" customHeight="1" x14ac:dyDescent="0.45">
      <c r="A65" s="15" t="s">
        <v>81</v>
      </c>
      <c r="B65" s="16" t="s">
        <v>88</v>
      </c>
      <c r="C65" s="17" t="s">
        <v>14</v>
      </c>
      <c r="D65" s="20" t="s">
        <v>14</v>
      </c>
      <c r="E65" s="20" t="s">
        <v>14</v>
      </c>
      <c r="F65" s="21"/>
      <c r="J65">
        <f t="shared" si="0"/>
        <v>0</v>
      </c>
    </row>
    <row r="66" spans="1:11" ht="25.5" customHeight="1" x14ac:dyDescent="0.45">
      <c r="A66" s="15" t="s">
        <v>81</v>
      </c>
      <c r="B66" s="16" t="s">
        <v>89</v>
      </c>
      <c r="C66" s="17" t="s">
        <v>14</v>
      </c>
      <c r="D66" s="20" t="s">
        <v>14</v>
      </c>
      <c r="E66" s="20" t="s">
        <v>14</v>
      </c>
      <c r="F66" s="21"/>
      <c r="G66">
        <v>1</v>
      </c>
      <c r="J66">
        <f t="shared" ref="J66:J129" si="1">SUM(G66:I66)</f>
        <v>1</v>
      </c>
      <c r="K66" t="s">
        <v>14</v>
      </c>
    </row>
    <row r="67" spans="1:11" ht="25.5" customHeight="1" x14ac:dyDescent="0.45">
      <c r="A67" s="15" t="s">
        <v>81</v>
      </c>
      <c r="B67" s="16" t="s">
        <v>90</v>
      </c>
      <c r="C67" s="17" t="s">
        <v>13</v>
      </c>
      <c r="D67" s="18" t="s">
        <v>13</v>
      </c>
      <c r="E67" s="18" t="s">
        <v>14</v>
      </c>
      <c r="F67" s="19"/>
      <c r="J67">
        <f t="shared" si="1"/>
        <v>0</v>
      </c>
    </row>
    <row r="68" spans="1:11" ht="25.5" customHeight="1" x14ac:dyDescent="0.45">
      <c r="A68" s="15" t="s">
        <v>81</v>
      </c>
      <c r="B68" s="16" t="s">
        <v>91</v>
      </c>
      <c r="C68" s="17" t="s">
        <v>13</v>
      </c>
      <c r="D68" s="18" t="s">
        <v>13</v>
      </c>
      <c r="E68" s="18" t="s">
        <v>14</v>
      </c>
      <c r="F68" s="19"/>
      <c r="J68">
        <f t="shared" si="1"/>
        <v>0</v>
      </c>
    </row>
    <row r="69" spans="1:11" ht="25.5" customHeight="1" x14ac:dyDescent="0.45">
      <c r="A69" s="15" t="s">
        <v>81</v>
      </c>
      <c r="B69" s="16" t="s">
        <v>92</v>
      </c>
      <c r="C69" s="17" t="s">
        <v>13</v>
      </c>
      <c r="D69" s="18" t="s">
        <v>13</v>
      </c>
      <c r="E69" s="18" t="s">
        <v>14</v>
      </c>
      <c r="F69" s="19"/>
      <c r="J69">
        <f t="shared" si="1"/>
        <v>0</v>
      </c>
    </row>
    <row r="70" spans="1:11" ht="25.5" customHeight="1" x14ac:dyDescent="0.45">
      <c r="A70" s="15" t="s">
        <v>81</v>
      </c>
      <c r="B70" s="16" t="s">
        <v>93</v>
      </c>
      <c r="C70" s="17" t="s">
        <v>14</v>
      </c>
      <c r="D70" s="20" t="s">
        <v>14</v>
      </c>
      <c r="E70" s="20" t="s">
        <v>14</v>
      </c>
      <c r="F70" s="21"/>
      <c r="J70">
        <f t="shared" si="1"/>
        <v>0</v>
      </c>
    </row>
    <row r="71" spans="1:11" ht="25.5" customHeight="1" x14ac:dyDescent="0.45">
      <c r="A71" s="15" t="s">
        <v>81</v>
      </c>
      <c r="B71" s="16" t="s">
        <v>94</v>
      </c>
      <c r="C71" s="17" t="s">
        <v>14</v>
      </c>
      <c r="D71" s="18" t="s">
        <v>14</v>
      </c>
      <c r="E71" s="18" t="s">
        <v>14</v>
      </c>
      <c r="F71" s="19"/>
      <c r="J71">
        <f t="shared" si="1"/>
        <v>0</v>
      </c>
    </row>
    <row r="72" spans="1:11" ht="25.5" customHeight="1" x14ac:dyDescent="0.45">
      <c r="A72" s="15" t="s">
        <v>81</v>
      </c>
      <c r="B72" s="16" t="s">
        <v>95</v>
      </c>
      <c r="C72" s="17" t="s">
        <v>14</v>
      </c>
      <c r="D72" s="18" t="s">
        <v>14</v>
      </c>
      <c r="E72" s="18" t="s">
        <v>14</v>
      </c>
      <c r="F72" s="19"/>
      <c r="J72">
        <f t="shared" si="1"/>
        <v>0</v>
      </c>
    </row>
    <row r="73" spans="1:11" ht="25.5" customHeight="1" x14ac:dyDescent="0.45">
      <c r="A73" s="15" t="s">
        <v>81</v>
      </c>
      <c r="B73" s="16" t="s">
        <v>96</v>
      </c>
      <c r="C73" s="17" t="s">
        <v>14</v>
      </c>
      <c r="D73" s="18" t="s">
        <v>14</v>
      </c>
      <c r="E73" s="18" t="s">
        <v>14</v>
      </c>
      <c r="F73" s="19"/>
      <c r="J73">
        <f t="shared" si="1"/>
        <v>0</v>
      </c>
    </row>
    <row r="74" spans="1:11" ht="25.5" customHeight="1" x14ac:dyDescent="0.45">
      <c r="A74" s="15" t="s">
        <v>81</v>
      </c>
      <c r="B74" s="16" t="s">
        <v>97</v>
      </c>
      <c r="C74" s="17" t="s">
        <v>14</v>
      </c>
      <c r="D74" s="18" t="s">
        <v>14</v>
      </c>
      <c r="E74" s="18" t="s">
        <v>13</v>
      </c>
      <c r="F74" s="19"/>
      <c r="J74">
        <f t="shared" si="1"/>
        <v>0</v>
      </c>
    </row>
    <row r="75" spans="1:11" ht="25.5" customHeight="1" x14ac:dyDescent="0.45">
      <c r="A75" s="15" t="s">
        <v>81</v>
      </c>
      <c r="B75" s="16" t="s">
        <v>98</v>
      </c>
      <c r="C75" s="17" t="s">
        <v>14</v>
      </c>
      <c r="D75" s="20" t="s">
        <v>14</v>
      </c>
      <c r="E75" s="20" t="s">
        <v>13</v>
      </c>
      <c r="F75" s="21"/>
      <c r="J75">
        <f t="shared" si="1"/>
        <v>0</v>
      </c>
    </row>
    <row r="76" spans="1:11" ht="25.5" customHeight="1" x14ac:dyDescent="0.45">
      <c r="A76" s="15" t="s">
        <v>81</v>
      </c>
      <c r="B76" s="16" t="s">
        <v>99</v>
      </c>
      <c r="C76" s="17" t="s">
        <v>13</v>
      </c>
      <c r="D76" s="18" t="s">
        <v>14</v>
      </c>
      <c r="E76" s="18" t="s">
        <v>14</v>
      </c>
      <c r="F76" s="19"/>
      <c r="J76">
        <f t="shared" si="1"/>
        <v>0</v>
      </c>
    </row>
    <row r="77" spans="1:11" ht="25.5" customHeight="1" x14ac:dyDescent="0.45">
      <c r="A77" s="15" t="s">
        <v>81</v>
      </c>
      <c r="B77" s="16" t="s">
        <v>100</v>
      </c>
      <c r="C77" s="17" t="s">
        <v>14</v>
      </c>
      <c r="D77" s="20" t="s">
        <v>14</v>
      </c>
      <c r="E77" s="20" t="s">
        <v>14</v>
      </c>
      <c r="F77" s="21"/>
      <c r="J77">
        <f t="shared" si="1"/>
        <v>0</v>
      </c>
    </row>
    <row r="78" spans="1:11" ht="25.5" customHeight="1" x14ac:dyDescent="0.45">
      <c r="A78" s="15" t="s">
        <v>81</v>
      </c>
      <c r="B78" s="16" t="s">
        <v>101</v>
      </c>
      <c r="C78" s="17" t="s">
        <v>14</v>
      </c>
      <c r="D78" s="20" t="s">
        <v>14</v>
      </c>
      <c r="E78" s="20" t="s">
        <v>14</v>
      </c>
      <c r="F78" s="21"/>
      <c r="G78">
        <v>3</v>
      </c>
      <c r="J78">
        <f t="shared" si="1"/>
        <v>3</v>
      </c>
      <c r="K78" t="s">
        <v>14</v>
      </c>
    </row>
    <row r="79" spans="1:11" ht="25.5" customHeight="1" x14ac:dyDescent="0.45">
      <c r="A79" s="15" t="s">
        <v>102</v>
      </c>
      <c r="B79" s="16" t="s">
        <v>103</v>
      </c>
      <c r="C79" s="17" t="s">
        <v>14</v>
      </c>
      <c r="D79" s="18" t="s">
        <v>14</v>
      </c>
      <c r="E79" s="18" t="s">
        <v>13</v>
      </c>
      <c r="F79" s="19"/>
      <c r="J79">
        <f t="shared" si="1"/>
        <v>0</v>
      </c>
    </row>
    <row r="80" spans="1:11" ht="25.5" customHeight="1" x14ac:dyDescent="0.45">
      <c r="A80" s="15" t="s">
        <v>102</v>
      </c>
      <c r="B80" s="16" t="s">
        <v>104</v>
      </c>
      <c r="C80" s="17" t="s">
        <v>14</v>
      </c>
      <c r="D80" s="18" t="s">
        <v>14</v>
      </c>
      <c r="E80" s="18" t="s">
        <v>13</v>
      </c>
      <c r="F80" s="19" t="s">
        <v>105</v>
      </c>
      <c r="J80">
        <f t="shared" si="1"/>
        <v>0</v>
      </c>
    </row>
    <row r="81" spans="1:11" ht="25.5" customHeight="1" x14ac:dyDescent="0.45">
      <c r="A81" s="15" t="s">
        <v>102</v>
      </c>
      <c r="B81" s="16" t="s">
        <v>106</v>
      </c>
      <c r="C81" s="17" t="s">
        <v>14</v>
      </c>
      <c r="D81" s="18" t="s">
        <v>14</v>
      </c>
      <c r="E81" s="18" t="s">
        <v>13</v>
      </c>
      <c r="F81" s="19"/>
      <c r="J81">
        <f t="shared" si="1"/>
        <v>0</v>
      </c>
    </row>
    <row r="82" spans="1:11" ht="25.5" customHeight="1" x14ac:dyDescent="0.45">
      <c r="A82" s="15" t="s">
        <v>102</v>
      </c>
      <c r="B82" s="16" t="s">
        <v>107</v>
      </c>
      <c r="C82" s="17" t="s">
        <v>14</v>
      </c>
      <c r="D82" s="18" t="s">
        <v>14</v>
      </c>
      <c r="E82" s="18" t="s">
        <v>13</v>
      </c>
      <c r="F82" s="19" t="s">
        <v>108</v>
      </c>
      <c r="J82">
        <f t="shared" si="1"/>
        <v>0</v>
      </c>
    </row>
    <row r="83" spans="1:11" ht="25.5" customHeight="1" x14ac:dyDescent="0.45">
      <c r="A83" s="15" t="s">
        <v>102</v>
      </c>
      <c r="B83" s="16" t="s">
        <v>109</v>
      </c>
      <c r="C83" s="17" t="s">
        <v>14</v>
      </c>
      <c r="D83" s="18" t="s">
        <v>14</v>
      </c>
      <c r="E83" s="18" t="s">
        <v>13</v>
      </c>
      <c r="F83" s="19" t="s">
        <v>108</v>
      </c>
      <c r="J83">
        <f t="shared" si="1"/>
        <v>0</v>
      </c>
    </row>
    <row r="84" spans="1:11" ht="25.5" customHeight="1" x14ac:dyDescent="0.45">
      <c r="A84" s="15" t="s">
        <v>102</v>
      </c>
      <c r="B84" s="16" t="s">
        <v>110</v>
      </c>
      <c r="C84" s="17" t="s">
        <v>14</v>
      </c>
      <c r="D84" s="20" t="s">
        <v>14</v>
      </c>
      <c r="E84" s="20" t="s">
        <v>14</v>
      </c>
      <c r="F84" s="21"/>
      <c r="G84">
        <v>2</v>
      </c>
      <c r="J84">
        <f t="shared" si="1"/>
        <v>2</v>
      </c>
      <c r="K84" t="s">
        <v>14</v>
      </c>
    </row>
    <row r="85" spans="1:11" ht="25.5" customHeight="1" x14ac:dyDescent="0.45">
      <c r="A85" s="15" t="s">
        <v>102</v>
      </c>
      <c r="B85" s="16" t="s">
        <v>111</v>
      </c>
      <c r="C85" s="17" t="s">
        <v>14</v>
      </c>
      <c r="D85" s="18" t="s">
        <v>14</v>
      </c>
      <c r="E85" s="18" t="s">
        <v>14</v>
      </c>
      <c r="F85" s="19" t="s">
        <v>105</v>
      </c>
      <c r="G85">
        <v>2</v>
      </c>
      <c r="J85">
        <f t="shared" si="1"/>
        <v>2</v>
      </c>
      <c r="K85" t="s">
        <v>14</v>
      </c>
    </row>
    <row r="86" spans="1:11" ht="42.75" customHeight="1" x14ac:dyDescent="0.45">
      <c r="A86" s="15" t="s">
        <v>102</v>
      </c>
      <c r="B86" s="16" t="s">
        <v>112</v>
      </c>
      <c r="C86" s="17" t="s">
        <v>14</v>
      </c>
      <c r="D86" s="18" t="s">
        <v>14</v>
      </c>
      <c r="E86" s="18" t="s">
        <v>13</v>
      </c>
      <c r="F86" s="19" t="s">
        <v>113</v>
      </c>
      <c r="J86">
        <f t="shared" si="1"/>
        <v>0</v>
      </c>
    </row>
    <row r="87" spans="1:11" ht="25.5" customHeight="1" x14ac:dyDescent="0.45">
      <c r="A87" s="15" t="s">
        <v>102</v>
      </c>
      <c r="B87" s="16" t="s">
        <v>114</v>
      </c>
      <c r="C87" s="17" t="s">
        <v>13</v>
      </c>
      <c r="D87" s="18" t="s">
        <v>13</v>
      </c>
      <c r="E87" s="18" t="s">
        <v>13</v>
      </c>
      <c r="F87" s="19"/>
      <c r="J87">
        <f t="shared" si="1"/>
        <v>0</v>
      </c>
    </row>
    <row r="88" spans="1:11" ht="28.5" customHeight="1" x14ac:dyDescent="0.45">
      <c r="A88" s="15" t="s">
        <v>102</v>
      </c>
      <c r="B88" s="16" t="s">
        <v>115</v>
      </c>
      <c r="C88" s="17" t="s">
        <v>14</v>
      </c>
      <c r="D88" s="20" t="s">
        <v>14</v>
      </c>
      <c r="E88" s="20" t="s">
        <v>14</v>
      </c>
      <c r="F88" s="21" t="s">
        <v>116</v>
      </c>
      <c r="J88">
        <f t="shared" si="1"/>
        <v>0</v>
      </c>
    </row>
    <row r="89" spans="1:11" ht="25.5" customHeight="1" x14ac:dyDescent="0.45">
      <c r="A89" s="15" t="s">
        <v>102</v>
      </c>
      <c r="B89" s="16" t="s">
        <v>117</v>
      </c>
      <c r="C89" s="17" t="s">
        <v>14</v>
      </c>
      <c r="D89" s="20" t="s">
        <v>14</v>
      </c>
      <c r="E89" s="20" t="s">
        <v>14</v>
      </c>
      <c r="F89" s="21"/>
      <c r="G89">
        <v>1</v>
      </c>
      <c r="I89">
        <v>1</v>
      </c>
      <c r="J89">
        <f t="shared" si="1"/>
        <v>2</v>
      </c>
      <c r="K89" t="s">
        <v>14</v>
      </c>
    </row>
    <row r="90" spans="1:11" ht="25.5" customHeight="1" x14ac:dyDescent="0.45">
      <c r="A90" s="15" t="s">
        <v>102</v>
      </c>
      <c r="B90" s="16" t="s">
        <v>118</v>
      </c>
      <c r="C90" s="17" t="s">
        <v>13</v>
      </c>
      <c r="D90" s="18" t="s">
        <v>13</v>
      </c>
      <c r="E90" s="18" t="s">
        <v>14</v>
      </c>
      <c r="F90" s="19"/>
      <c r="J90">
        <f t="shared" si="1"/>
        <v>0</v>
      </c>
    </row>
    <row r="91" spans="1:11" ht="25.5" customHeight="1" x14ac:dyDescent="0.45">
      <c r="A91" s="15" t="s">
        <v>102</v>
      </c>
      <c r="B91" s="16" t="s">
        <v>119</v>
      </c>
      <c r="C91" s="17" t="s">
        <v>14</v>
      </c>
      <c r="D91" s="20" t="s">
        <v>14</v>
      </c>
      <c r="E91" s="20" t="s">
        <v>14</v>
      </c>
      <c r="F91" s="21"/>
      <c r="H91">
        <v>1</v>
      </c>
      <c r="J91">
        <f t="shared" si="1"/>
        <v>1</v>
      </c>
      <c r="K91" t="s">
        <v>14</v>
      </c>
    </row>
    <row r="92" spans="1:11" ht="25.5" customHeight="1" x14ac:dyDescent="0.45">
      <c r="A92" s="15" t="s">
        <v>102</v>
      </c>
      <c r="B92" s="16" t="s">
        <v>120</v>
      </c>
      <c r="C92" s="17" t="s">
        <v>14</v>
      </c>
      <c r="D92" s="18" t="s">
        <v>14</v>
      </c>
      <c r="E92" s="18" t="s">
        <v>14</v>
      </c>
      <c r="F92" s="19"/>
      <c r="J92">
        <f t="shared" si="1"/>
        <v>0</v>
      </c>
    </row>
    <row r="93" spans="1:11" ht="25.5" customHeight="1" x14ac:dyDescent="0.45">
      <c r="A93" s="15" t="s">
        <v>102</v>
      </c>
      <c r="B93" s="16" t="s">
        <v>121</v>
      </c>
      <c r="C93" s="17" t="s">
        <v>13</v>
      </c>
      <c r="D93" s="18" t="s">
        <v>13</v>
      </c>
      <c r="E93" s="18" t="s">
        <v>13</v>
      </c>
      <c r="F93" s="19"/>
      <c r="J93">
        <f t="shared" si="1"/>
        <v>0</v>
      </c>
    </row>
    <row r="94" spans="1:11" ht="25.5" customHeight="1" x14ac:dyDescent="0.45">
      <c r="A94" s="15" t="s">
        <v>102</v>
      </c>
      <c r="B94" s="16" t="s">
        <v>122</v>
      </c>
      <c r="C94" s="17" t="s">
        <v>13</v>
      </c>
      <c r="D94" s="18" t="s">
        <v>13</v>
      </c>
      <c r="E94" s="18" t="s">
        <v>13</v>
      </c>
      <c r="F94" s="19"/>
      <c r="J94">
        <f t="shared" si="1"/>
        <v>0</v>
      </c>
    </row>
    <row r="95" spans="1:11" ht="25.5" customHeight="1" x14ac:dyDescent="0.45">
      <c r="A95" s="15" t="s">
        <v>102</v>
      </c>
      <c r="B95" s="16" t="s">
        <v>123</v>
      </c>
      <c r="C95" s="17" t="s">
        <v>14</v>
      </c>
      <c r="D95" s="20" t="s">
        <v>14</v>
      </c>
      <c r="E95" s="20" t="s">
        <v>14</v>
      </c>
      <c r="F95" s="21"/>
      <c r="H95">
        <v>5</v>
      </c>
      <c r="J95">
        <f t="shared" si="1"/>
        <v>5</v>
      </c>
      <c r="K95" t="s">
        <v>14</v>
      </c>
    </row>
    <row r="96" spans="1:11" ht="25.5" customHeight="1" x14ac:dyDescent="0.45">
      <c r="A96" s="15" t="s">
        <v>102</v>
      </c>
      <c r="B96" s="16" t="s">
        <v>124</v>
      </c>
      <c r="C96" s="17" t="s">
        <v>13</v>
      </c>
      <c r="D96" s="18" t="s">
        <v>13</v>
      </c>
      <c r="E96" s="18" t="s">
        <v>13</v>
      </c>
      <c r="F96" s="19"/>
      <c r="J96">
        <f t="shared" si="1"/>
        <v>0</v>
      </c>
    </row>
    <row r="97" spans="1:11" ht="25.5" customHeight="1" x14ac:dyDescent="0.45">
      <c r="A97" s="15" t="s">
        <v>102</v>
      </c>
      <c r="B97" s="16" t="s">
        <v>125</v>
      </c>
      <c r="C97" s="17" t="s">
        <v>13</v>
      </c>
      <c r="D97" s="18" t="s">
        <v>13</v>
      </c>
      <c r="E97" s="18" t="s">
        <v>13</v>
      </c>
      <c r="F97" s="19"/>
      <c r="J97">
        <f t="shared" si="1"/>
        <v>0</v>
      </c>
    </row>
    <row r="98" spans="1:11" ht="25.5" customHeight="1" x14ac:dyDescent="0.45">
      <c r="A98" s="15" t="s">
        <v>102</v>
      </c>
      <c r="B98" s="16" t="s">
        <v>126</v>
      </c>
      <c r="C98" s="17" t="s">
        <v>14</v>
      </c>
      <c r="D98" s="20" t="s">
        <v>14</v>
      </c>
      <c r="E98" s="20" t="s">
        <v>13</v>
      </c>
      <c r="F98" s="21"/>
      <c r="J98">
        <f t="shared" si="1"/>
        <v>0</v>
      </c>
    </row>
    <row r="99" spans="1:11" ht="25.5" customHeight="1" x14ac:dyDescent="0.45">
      <c r="A99" s="15" t="s">
        <v>102</v>
      </c>
      <c r="B99" s="16" t="s">
        <v>127</v>
      </c>
      <c r="C99" s="17" t="s">
        <v>14</v>
      </c>
      <c r="D99" s="20" t="s">
        <v>14</v>
      </c>
      <c r="E99" s="20" t="s">
        <v>14</v>
      </c>
      <c r="F99" s="21"/>
      <c r="H99">
        <v>1</v>
      </c>
      <c r="J99">
        <f t="shared" si="1"/>
        <v>1</v>
      </c>
      <c r="K99" t="s">
        <v>14</v>
      </c>
    </row>
    <row r="100" spans="1:11" x14ac:dyDescent="0.45">
      <c r="A100" s="15" t="s">
        <v>128</v>
      </c>
      <c r="B100" s="16" t="s">
        <v>129</v>
      </c>
      <c r="C100" s="17" t="s">
        <v>14</v>
      </c>
      <c r="D100" s="20" t="s">
        <v>14</v>
      </c>
      <c r="E100" s="20" t="s">
        <v>14</v>
      </c>
      <c r="F100" s="21"/>
      <c r="J100">
        <f t="shared" si="1"/>
        <v>0</v>
      </c>
    </row>
    <row r="101" spans="1:11" ht="25.5" customHeight="1" x14ac:dyDescent="0.45">
      <c r="A101" s="15" t="s">
        <v>128</v>
      </c>
      <c r="B101" s="16" t="s">
        <v>130</v>
      </c>
      <c r="C101" s="17" t="s">
        <v>14</v>
      </c>
      <c r="D101" s="18" t="s">
        <v>14</v>
      </c>
      <c r="E101" s="18" t="s">
        <v>13</v>
      </c>
      <c r="F101" s="19"/>
      <c r="J101">
        <f t="shared" si="1"/>
        <v>0</v>
      </c>
    </row>
    <row r="102" spans="1:11" ht="25.5" customHeight="1" x14ac:dyDescent="0.45">
      <c r="A102" s="15" t="s">
        <v>128</v>
      </c>
      <c r="B102" s="16" t="s">
        <v>131</v>
      </c>
      <c r="C102" s="17" t="s">
        <v>14</v>
      </c>
      <c r="D102" s="18" t="s">
        <v>14</v>
      </c>
      <c r="E102" s="18" t="s">
        <v>13</v>
      </c>
      <c r="F102" s="19" t="s">
        <v>105</v>
      </c>
      <c r="J102">
        <f t="shared" si="1"/>
        <v>0</v>
      </c>
    </row>
    <row r="103" spans="1:11" x14ac:dyDescent="0.45">
      <c r="A103" s="15" t="s">
        <v>128</v>
      </c>
      <c r="B103" s="16" t="s">
        <v>132</v>
      </c>
      <c r="C103" s="17" t="s">
        <v>14</v>
      </c>
      <c r="D103" s="18" t="s">
        <v>13</v>
      </c>
      <c r="E103" s="18" t="s">
        <v>14</v>
      </c>
      <c r="F103" s="19"/>
      <c r="J103">
        <f t="shared" si="1"/>
        <v>0</v>
      </c>
    </row>
    <row r="104" spans="1:11" ht="25.5" customHeight="1" x14ac:dyDescent="0.45">
      <c r="A104" s="15" t="s">
        <v>128</v>
      </c>
      <c r="B104" s="16" t="s">
        <v>133</v>
      </c>
      <c r="C104" s="17" t="s">
        <v>13</v>
      </c>
      <c r="D104" s="18" t="s">
        <v>13</v>
      </c>
      <c r="E104" s="18" t="s">
        <v>13</v>
      </c>
      <c r="F104" s="19"/>
      <c r="J104">
        <f t="shared" si="1"/>
        <v>0</v>
      </c>
    </row>
    <row r="105" spans="1:11" ht="25.5" customHeight="1" x14ac:dyDescent="0.45">
      <c r="A105" s="15" t="s">
        <v>128</v>
      </c>
      <c r="B105" s="16" t="s">
        <v>134</v>
      </c>
      <c r="C105" s="17" t="s">
        <v>13</v>
      </c>
      <c r="D105" s="18" t="s">
        <v>13</v>
      </c>
      <c r="E105" s="18" t="s">
        <v>13</v>
      </c>
      <c r="F105" s="19"/>
      <c r="J105">
        <f t="shared" si="1"/>
        <v>0</v>
      </c>
    </row>
    <row r="106" spans="1:11" x14ac:dyDescent="0.45">
      <c r="A106" s="15" t="s">
        <v>128</v>
      </c>
      <c r="B106" s="16" t="s">
        <v>135</v>
      </c>
      <c r="C106" s="17" t="s">
        <v>13</v>
      </c>
      <c r="D106" s="18" t="s">
        <v>14</v>
      </c>
      <c r="E106" s="18" t="s">
        <v>13</v>
      </c>
      <c r="F106" s="19"/>
      <c r="J106">
        <f t="shared" si="1"/>
        <v>0</v>
      </c>
    </row>
    <row r="107" spans="1:11" ht="25.5" customHeight="1" x14ac:dyDescent="0.45">
      <c r="A107" s="15" t="s">
        <v>128</v>
      </c>
      <c r="B107" s="16" t="s">
        <v>136</v>
      </c>
      <c r="C107" s="17" t="s">
        <v>14</v>
      </c>
      <c r="D107" s="20" t="s">
        <v>14</v>
      </c>
      <c r="E107" s="20" t="s">
        <v>14</v>
      </c>
      <c r="F107" s="21"/>
      <c r="H107">
        <v>4</v>
      </c>
      <c r="J107">
        <f t="shared" si="1"/>
        <v>4</v>
      </c>
      <c r="K107" t="s">
        <v>14</v>
      </c>
    </row>
    <row r="108" spans="1:11" ht="25.5" customHeight="1" x14ac:dyDescent="0.45">
      <c r="A108" s="15" t="s">
        <v>128</v>
      </c>
      <c r="B108" s="16" t="s">
        <v>137</v>
      </c>
      <c r="C108" s="17" t="s">
        <v>14</v>
      </c>
      <c r="D108" s="18" t="s">
        <v>14</v>
      </c>
      <c r="E108" s="18" t="s">
        <v>14</v>
      </c>
      <c r="F108" s="19" t="s">
        <v>105</v>
      </c>
      <c r="H108">
        <v>1</v>
      </c>
      <c r="J108">
        <f t="shared" si="1"/>
        <v>1</v>
      </c>
      <c r="K108" t="s">
        <v>14</v>
      </c>
    </row>
    <row r="109" spans="1:11" ht="25.5" customHeight="1" x14ac:dyDescent="0.45">
      <c r="A109" s="15" t="s">
        <v>128</v>
      </c>
      <c r="B109" s="16" t="s">
        <v>138</v>
      </c>
      <c r="C109" s="17" t="s">
        <v>14</v>
      </c>
      <c r="D109" s="20" t="s">
        <v>14</v>
      </c>
      <c r="E109" s="20" t="s">
        <v>14</v>
      </c>
      <c r="F109" s="21"/>
      <c r="J109">
        <f t="shared" si="1"/>
        <v>0</v>
      </c>
    </row>
    <row r="110" spans="1:11" ht="25.5" customHeight="1" x14ac:dyDescent="0.45">
      <c r="A110" s="15" t="s">
        <v>128</v>
      </c>
      <c r="B110" s="16" t="s">
        <v>139</v>
      </c>
      <c r="C110" s="17" t="s">
        <v>14</v>
      </c>
      <c r="D110" s="20" t="s">
        <v>14</v>
      </c>
      <c r="E110" s="20" t="s">
        <v>14</v>
      </c>
      <c r="F110" s="21"/>
      <c r="H110">
        <v>2</v>
      </c>
      <c r="J110">
        <f t="shared" si="1"/>
        <v>2</v>
      </c>
      <c r="K110" t="s">
        <v>14</v>
      </c>
    </row>
    <row r="111" spans="1:11" ht="25.5" customHeight="1" x14ac:dyDescent="0.45">
      <c r="A111" s="15" t="s">
        <v>128</v>
      </c>
      <c r="B111" s="16" t="s">
        <v>140</v>
      </c>
      <c r="C111" s="17" t="s">
        <v>14</v>
      </c>
      <c r="D111" s="18" t="s">
        <v>14</v>
      </c>
      <c r="E111" s="18" t="s">
        <v>13</v>
      </c>
      <c r="F111" s="19"/>
      <c r="J111">
        <f t="shared" si="1"/>
        <v>0</v>
      </c>
    </row>
    <row r="112" spans="1:11" ht="25.5" customHeight="1" x14ac:dyDescent="0.45">
      <c r="A112" s="15" t="s">
        <v>128</v>
      </c>
      <c r="B112" s="16" t="s">
        <v>141</v>
      </c>
      <c r="C112" s="17" t="s">
        <v>14</v>
      </c>
      <c r="D112" s="20" t="s">
        <v>14</v>
      </c>
      <c r="E112" s="20" t="s">
        <v>14</v>
      </c>
      <c r="F112" s="21"/>
      <c r="I112">
        <v>2</v>
      </c>
      <c r="J112">
        <f t="shared" si="1"/>
        <v>2</v>
      </c>
      <c r="K112" t="s">
        <v>14</v>
      </c>
    </row>
    <row r="113" spans="1:11" x14ac:dyDescent="0.45">
      <c r="A113" s="15" t="s">
        <v>128</v>
      </c>
      <c r="B113" s="16" t="s">
        <v>142</v>
      </c>
      <c r="C113" s="17" t="s">
        <v>14</v>
      </c>
      <c r="D113" s="18" t="s">
        <v>14</v>
      </c>
      <c r="E113" s="18" t="s">
        <v>13</v>
      </c>
      <c r="F113" s="19"/>
      <c r="J113">
        <f t="shared" si="1"/>
        <v>0</v>
      </c>
    </row>
    <row r="114" spans="1:11" x14ac:dyDescent="0.45">
      <c r="A114" s="15" t="s">
        <v>128</v>
      </c>
      <c r="B114" s="16" t="s">
        <v>143</v>
      </c>
      <c r="C114" s="17" t="s">
        <v>13</v>
      </c>
      <c r="D114" s="18" t="s">
        <v>13</v>
      </c>
      <c r="E114" s="18" t="s">
        <v>13</v>
      </c>
      <c r="F114" s="19"/>
      <c r="J114">
        <f t="shared" si="1"/>
        <v>0</v>
      </c>
    </row>
    <row r="115" spans="1:11" x14ac:dyDescent="0.45">
      <c r="A115" s="15" t="s">
        <v>128</v>
      </c>
      <c r="B115" s="16" t="s">
        <v>144</v>
      </c>
      <c r="C115" s="17" t="s">
        <v>13</v>
      </c>
      <c r="D115" s="18" t="s">
        <v>13</v>
      </c>
      <c r="E115" s="18" t="s">
        <v>14</v>
      </c>
      <c r="F115" s="19"/>
      <c r="J115">
        <f t="shared" si="1"/>
        <v>0</v>
      </c>
    </row>
    <row r="116" spans="1:11" ht="25.5" customHeight="1" x14ac:dyDescent="0.45">
      <c r="A116" s="15" t="s">
        <v>128</v>
      </c>
      <c r="B116" s="16" t="s">
        <v>145</v>
      </c>
      <c r="C116" s="17" t="s">
        <v>14</v>
      </c>
      <c r="D116" s="20" t="s">
        <v>14</v>
      </c>
      <c r="E116" s="20" t="s">
        <v>14</v>
      </c>
      <c r="F116" s="21"/>
      <c r="H116">
        <v>1</v>
      </c>
      <c r="J116">
        <f t="shared" si="1"/>
        <v>1</v>
      </c>
      <c r="K116" t="s">
        <v>14</v>
      </c>
    </row>
    <row r="117" spans="1:11" ht="25.5" customHeight="1" x14ac:dyDescent="0.45">
      <c r="A117" s="15" t="s">
        <v>128</v>
      </c>
      <c r="B117" s="16" t="s">
        <v>146</v>
      </c>
      <c r="C117" s="17" t="s">
        <v>13</v>
      </c>
      <c r="D117" s="18" t="s">
        <v>13</v>
      </c>
      <c r="E117" s="18" t="s">
        <v>14</v>
      </c>
      <c r="F117" s="19"/>
      <c r="J117">
        <f t="shared" si="1"/>
        <v>0</v>
      </c>
    </row>
    <row r="118" spans="1:11" ht="38.25" customHeight="1" x14ac:dyDescent="0.45">
      <c r="A118" s="15" t="s">
        <v>128</v>
      </c>
      <c r="B118" s="16" t="s">
        <v>147</v>
      </c>
      <c r="C118" s="17" t="s">
        <v>13</v>
      </c>
      <c r="D118" s="18" t="s">
        <v>13</v>
      </c>
      <c r="E118" s="18" t="s">
        <v>14</v>
      </c>
      <c r="F118" s="19"/>
      <c r="J118">
        <f t="shared" si="1"/>
        <v>0</v>
      </c>
    </row>
    <row r="119" spans="1:11" ht="25.5" customHeight="1" x14ac:dyDescent="0.45">
      <c r="A119" s="15" t="s">
        <v>128</v>
      </c>
      <c r="B119" s="16" t="s">
        <v>148</v>
      </c>
      <c r="C119" s="17" t="s">
        <v>13</v>
      </c>
      <c r="D119" s="18" t="s">
        <v>13</v>
      </c>
      <c r="E119" s="18" t="s">
        <v>14</v>
      </c>
      <c r="F119" s="19"/>
      <c r="J119">
        <f t="shared" si="1"/>
        <v>0</v>
      </c>
    </row>
    <row r="120" spans="1:11" ht="25.5" customHeight="1" x14ac:dyDescent="0.45">
      <c r="A120" s="15" t="s">
        <v>128</v>
      </c>
      <c r="B120" s="16" t="s">
        <v>149</v>
      </c>
      <c r="C120" s="17" t="s">
        <v>13</v>
      </c>
      <c r="D120" s="18" t="s">
        <v>13</v>
      </c>
      <c r="E120" s="18" t="s">
        <v>13</v>
      </c>
      <c r="F120" s="19"/>
      <c r="J120">
        <f t="shared" si="1"/>
        <v>0</v>
      </c>
    </row>
    <row r="121" spans="1:11" ht="25.5" customHeight="1" x14ac:dyDescent="0.45">
      <c r="A121" s="15" t="s">
        <v>128</v>
      </c>
      <c r="B121" s="16" t="s">
        <v>150</v>
      </c>
      <c r="C121" s="17" t="s">
        <v>13</v>
      </c>
      <c r="D121" s="18" t="s">
        <v>13</v>
      </c>
      <c r="E121" s="18" t="s">
        <v>13</v>
      </c>
      <c r="F121" s="19"/>
      <c r="J121">
        <f t="shared" si="1"/>
        <v>0</v>
      </c>
    </row>
    <row r="122" spans="1:11" ht="25.5" customHeight="1" x14ac:dyDescent="0.45">
      <c r="A122" s="15" t="s">
        <v>128</v>
      </c>
      <c r="B122" s="16" t="s">
        <v>151</v>
      </c>
      <c r="C122" s="17" t="s">
        <v>13</v>
      </c>
      <c r="D122" s="18" t="s">
        <v>13</v>
      </c>
      <c r="E122" s="18" t="s">
        <v>13</v>
      </c>
      <c r="F122" s="19"/>
      <c r="J122">
        <f t="shared" si="1"/>
        <v>0</v>
      </c>
    </row>
    <row r="123" spans="1:11" ht="25.5" customHeight="1" x14ac:dyDescent="0.45">
      <c r="A123" s="15" t="s">
        <v>128</v>
      </c>
      <c r="B123" s="16" t="s">
        <v>152</v>
      </c>
      <c r="C123" s="17" t="s">
        <v>14</v>
      </c>
      <c r="D123" s="20" t="s">
        <v>14</v>
      </c>
      <c r="E123" s="20" t="s">
        <v>14</v>
      </c>
      <c r="F123" s="21"/>
      <c r="J123">
        <f t="shared" si="1"/>
        <v>0</v>
      </c>
    </row>
    <row r="124" spans="1:11" ht="25.5" customHeight="1" x14ac:dyDescent="0.45">
      <c r="A124" s="15" t="s">
        <v>128</v>
      </c>
      <c r="B124" s="16" t="s">
        <v>153</v>
      </c>
      <c r="C124" s="17" t="s">
        <v>13</v>
      </c>
      <c r="D124" s="18" t="s">
        <v>13</v>
      </c>
      <c r="E124" s="18" t="s">
        <v>14</v>
      </c>
      <c r="F124" s="19"/>
      <c r="J124">
        <f t="shared" si="1"/>
        <v>0</v>
      </c>
    </row>
    <row r="125" spans="1:11" ht="25.5" customHeight="1" x14ac:dyDescent="0.45">
      <c r="A125" s="15" t="s">
        <v>128</v>
      </c>
      <c r="B125" s="16" t="s">
        <v>154</v>
      </c>
      <c r="C125" s="17" t="s">
        <v>14</v>
      </c>
      <c r="D125" s="18" t="s">
        <v>14</v>
      </c>
      <c r="E125" s="18" t="s">
        <v>13</v>
      </c>
      <c r="F125" s="19"/>
      <c r="J125">
        <f t="shared" si="1"/>
        <v>0</v>
      </c>
    </row>
    <row r="126" spans="1:11" ht="25.5" customHeight="1" x14ac:dyDescent="0.45">
      <c r="A126" s="15" t="s">
        <v>128</v>
      </c>
      <c r="B126" s="16" t="s">
        <v>155</v>
      </c>
      <c r="C126" s="17" t="s">
        <v>13</v>
      </c>
      <c r="D126" s="18" t="s">
        <v>14</v>
      </c>
      <c r="E126" s="18" t="s">
        <v>13</v>
      </c>
      <c r="F126" s="19" t="s">
        <v>156</v>
      </c>
      <c r="J126">
        <f t="shared" si="1"/>
        <v>0</v>
      </c>
    </row>
    <row r="127" spans="1:11" ht="25.5" customHeight="1" x14ac:dyDescent="0.45">
      <c r="A127" s="15" t="s">
        <v>128</v>
      </c>
      <c r="B127" s="16" t="s">
        <v>157</v>
      </c>
      <c r="C127" s="17" t="s">
        <v>14</v>
      </c>
      <c r="D127" s="18" t="s">
        <v>14</v>
      </c>
      <c r="E127" s="18" t="s">
        <v>13</v>
      </c>
      <c r="F127" s="19"/>
      <c r="J127">
        <f t="shared" si="1"/>
        <v>0</v>
      </c>
    </row>
    <row r="128" spans="1:11" ht="25.5" customHeight="1" x14ac:dyDescent="0.45">
      <c r="A128" s="15" t="s">
        <v>128</v>
      </c>
      <c r="B128" s="16" t="s">
        <v>158</v>
      </c>
      <c r="C128" s="17" t="s">
        <v>14</v>
      </c>
      <c r="D128" s="18" t="s">
        <v>14</v>
      </c>
      <c r="E128" s="18" t="s">
        <v>13</v>
      </c>
      <c r="F128" s="19"/>
      <c r="J128">
        <f t="shared" si="1"/>
        <v>0</v>
      </c>
    </row>
    <row r="129" spans="1:11" ht="25.5" customHeight="1" x14ac:dyDescent="0.45">
      <c r="A129" s="15" t="s">
        <v>128</v>
      </c>
      <c r="B129" s="16" t="s">
        <v>159</v>
      </c>
      <c r="C129" s="17" t="s">
        <v>14</v>
      </c>
      <c r="D129" s="18" t="s">
        <v>14</v>
      </c>
      <c r="E129" s="18" t="s">
        <v>13</v>
      </c>
      <c r="F129" s="19"/>
      <c r="J129">
        <f t="shared" si="1"/>
        <v>0</v>
      </c>
    </row>
    <row r="130" spans="1:11" ht="25.5" customHeight="1" x14ac:dyDescent="0.45">
      <c r="A130" s="15" t="s">
        <v>128</v>
      </c>
      <c r="B130" s="16" t="s">
        <v>160</v>
      </c>
      <c r="C130" s="17" t="s">
        <v>13</v>
      </c>
      <c r="D130" s="18" t="s">
        <v>13</v>
      </c>
      <c r="E130" s="18" t="s">
        <v>13</v>
      </c>
      <c r="F130" s="19"/>
      <c r="J130">
        <f t="shared" ref="J130:J193" si="2">SUM(G130:I130)</f>
        <v>0</v>
      </c>
    </row>
    <row r="131" spans="1:11" ht="25.5" customHeight="1" x14ac:dyDescent="0.45">
      <c r="A131" s="15" t="s">
        <v>128</v>
      </c>
      <c r="B131" s="16" t="s">
        <v>161</v>
      </c>
      <c r="C131" s="17" t="s">
        <v>13</v>
      </c>
      <c r="D131" s="18" t="s">
        <v>13</v>
      </c>
      <c r="E131" s="18" t="s">
        <v>14</v>
      </c>
      <c r="F131" s="19"/>
      <c r="J131">
        <f t="shared" si="2"/>
        <v>0</v>
      </c>
    </row>
    <row r="132" spans="1:11" ht="25.5" customHeight="1" x14ac:dyDescent="0.45">
      <c r="A132" s="15" t="s">
        <v>162</v>
      </c>
      <c r="B132" s="16" t="s">
        <v>163</v>
      </c>
      <c r="C132" s="17" t="s">
        <v>13</v>
      </c>
      <c r="D132" s="18" t="s">
        <v>13</v>
      </c>
      <c r="E132" s="18" t="s">
        <v>14</v>
      </c>
      <c r="F132" s="19"/>
      <c r="J132">
        <f t="shared" si="2"/>
        <v>0</v>
      </c>
    </row>
    <row r="133" spans="1:11" ht="25.5" customHeight="1" x14ac:dyDescent="0.45">
      <c r="A133" s="15" t="s">
        <v>162</v>
      </c>
      <c r="B133" s="16" t="s">
        <v>164</v>
      </c>
      <c r="C133" s="17" t="s">
        <v>14</v>
      </c>
      <c r="D133" s="20" t="s">
        <v>14</v>
      </c>
      <c r="E133" s="20" t="s">
        <v>14</v>
      </c>
      <c r="F133" s="21"/>
      <c r="H133">
        <v>1</v>
      </c>
      <c r="J133">
        <f t="shared" si="2"/>
        <v>1</v>
      </c>
      <c r="K133" t="s">
        <v>14</v>
      </c>
    </row>
    <row r="134" spans="1:11" ht="25.5" customHeight="1" x14ac:dyDescent="0.45">
      <c r="A134" s="15" t="s">
        <v>162</v>
      </c>
      <c r="B134" s="16" t="s">
        <v>165</v>
      </c>
      <c r="C134" s="17" t="s">
        <v>14</v>
      </c>
      <c r="D134" s="18" t="s">
        <v>14</v>
      </c>
      <c r="E134" s="18" t="s">
        <v>14</v>
      </c>
      <c r="F134" s="19"/>
      <c r="J134">
        <f t="shared" si="2"/>
        <v>0</v>
      </c>
    </row>
    <row r="135" spans="1:11" ht="28.5" customHeight="1" x14ac:dyDescent="0.45">
      <c r="A135" s="15" t="s">
        <v>162</v>
      </c>
      <c r="B135" s="16" t="s">
        <v>166</v>
      </c>
      <c r="C135" s="17" t="s">
        <v>14</v>
      </c>
      <c r="D135" s="18" t="s">
        <v>14</v>
      </c>
      <c r="E135" s="18" t="s">
        <v>14</v>
      </c>
      <c r="F135" s="19" t="s">
        <v>167</v>
      </c>
      <c r="J135">
        <f t="shared" si="2"/>
        <v>0</v>
      </c>
    </row>
    <row r="136" spans="1:11" ht="25.5" customHeight="1" x14ac:dyDescent="0.45">
      <c r="A136" s="15" t="s">
        <v>162</v>
      </c>
      <c r="B136" s="16" t="s">
        <v>168</v>
      </c>
      <c r="C136" s="17" t="s">
        <v>14</v>
      </c>
      <c r="D136" s="20" t="s">
        <v>14</v>
      </c>
      <c r="E136" s="20" t="s">
        <v>14</v>
      </c>
      <c r="F136" s="21"/>
      <c r="H136">
        <v>2</v>
      </c>
      <c r="J136">
        <f t="shared" si="2"/>
        <v>2</v>
      </c>
      <c r="K136" t="s">
        <v>14</v>
      </c>
    </row>
    <row r="137" spans="1:11" ht="25.5" customHeight="1" x14ac:dyDescent="0.45">
      <c r="A137" s="15" t="s">
        <v>162</v>
      </c>
      <c r="B137" s="16" t="s">
        <v>169</v>
      </c>
      <c r="C137" s="17" t="s">
        <v>13</v>
      </c>
      <c r="D137" s="18" t="s">
        <v>13</v>
      </c>
      <c r="E137" s="18" t="s">
        <v>14</v>
      </c>
      <c r="F137" s="19"/>
      <c r="J137">
        <f t="shared" si="2"/>
        <v>0</v>
      </c>
    </row>
    <row r="138" spans="1:11" ht="25.5" customHeight="1" x14ac:dyDescent="0.45">
      <c r="A138" s="15" t="s">
        <v>162</v>
      </c>
      <c r="B138" s="16" t="s">
        <v>170</v>
      </c>
      <c r="C138" s="17" t="s">
        <v>13</v>
      </c>
      <c r="D138" s="18" t="s">
        <v>13</v>
      </c>
      <c r="E138" s="18" t="s">
        <v>14</v>
      </c>
      <c r="F138" s="19"/>
      <c r="J138">
        <f t="shared" si="2"/>
        <v>0</v>
      </c>
    </row>
    <row r="139" spans="1:11" ht="25.5" customHeight="1" x14ac:dyDescent="0.45">
      <c r="A139" s="15" t="s">
        <v>162</v>
      </c>
      <c r="B139" s="16" t="s">
        <v>171</v>
      </c>
      <c r="C139" s="17" t="s">
        <v>14</v>
      </c>
      <c r="D139" s="18" t="s">
        <v>14</v>
      </c>
      <c r="E139" s="18" t="s">
        <v>14</v>
      </c>
      <c r="F139" s="19"/>
      <c r="H139">
        <v>2</v>
      </c>
      <c r="J139">
        <f t="shared" si="2"/>
        <v>2</v>
      </c>
      <c r="K139" t="s">
        <v>14</v>
      </c>
    </row>
    <row r="140" spans="1:11" ht="25.5" customHeight="1" x14ac:dyDescent="0.45">
      <c r="A140" s="15" t="s">
        <v>162</v>
      </c>
      <c r="B140" s="16" t="s">
        <v>172</v>
      </c>
      <c r="C140" s="17" t="s">
        <v>14</v>
      </c>
      <c r="D140" s="18" t="s">
        <v>14</v>
      </c>
      <c r="E140" s="18" t="s">
        <v>13</v>
      </c>
      <c r="F140" s="19"/>
      <c r="J140">
        <f t="shared" si="2"/>
        <v>0</v>
      </c>
    </row>
    <row r="141" spans="1:11" ht="25.5" customHeight="1" x14ac:dyDescent="0.45">
      <c r="A141" s="15" t="s">
        <v>162</v>
      </c>
      <c r="B141" s="16" t="s">
        <v>173</v>
      </c>
      <c r="C141" s="17" t="s">
        <v>14</v>
      </c>
      <c r="D141" s="18" t="s">
        <v>14</v>
      </c>
      <c r="E141" s="18" t="s">
        <v>13</v>
      </c>
      <c r="F141" s="19"/>
      <c r="J141">
        <f t="shared" si="2"/>
        <v>0</v>
      </c>
    </row>
    <row r="142" spans="1:11" ht="25.5" customHeight="1" x14ac:dyDescent="0.45">
      <c r="A142" s="15" t="s">
        <v>162</v>
      </c>
      <c r="B142" s="16" t="s">
        <v>174</v>
      </c>
      <c r="C142" s="17" t="s">
        <v>13</v>
      </c>
      <c r="D142" s="18" t="s">
        <v>13</v>
      </c>
      <c r="E142" s="18" t="s">
        <v>13</v>
      </c>
      <c r="F142" s="19"/>
      <c r="J142">
        <f t="shared" si="2"/>
        <v>0</v>
      </c>
    </row>
    <row r="143" spans="1:11" ht="25.5" customHeight="1" x14ac:dyDescent="0.45">
      <c r="A143" s="15" t="s">
        <v>162</v>
      </c>
      <c r="B143" s="16" t="s">
        <v>175</v>
      </c>
      <c r="C143" s="17" t="s">
        <v>14</v>
      </c>
      <c r="D143" s="20" t="s">
        <v>14</v>
      </c>
      <c r="E143" s="20" t="s">
        <v>14</v>
      </c>
      <c r="F143" s="21"/>
      <c r="J143">
        <f t="shared" si="2"/>
        <v>0</v>
      </c>
    </row>
    <row r="144" spans="1:11" ht="25.5" customHeight="1" x14ac:dyDescent="0.45">
      <c r="A144" s="15" t="s">
        <v>162</v>
      </c>
      <c r="B144" s="16" t="s">
        <v>176</v>
      </c>
      <c r="C144" s="17" t="s">
        <v>14</v>
      </c>
      <c r="D144" s="18" t="s">
        <v>14</v>
      </c>
      <c r="E144" s="18" t="s">
        <v>14</v>
      </c>
      <c r="F144" s="19"/>
      <c r="I144">
        <v>1</v>
      </c>
      <c r="J144">
        <f t="shared" si="2"/>
        <v>1</v>
      </c>
      <c r="K144" t="s">
        <v>14</v>
      </c>
    </row>
    <row r="145" spans="1:11" ht="25.5" customHeight="1" x14ac:dyDescent="0.45">
      <c r="A145" s="15" t="s">
        <v>162</v>
      </c>
      <c r="B145" s="16" t="s">
        <v>177</v>
      </c>
      <c r="C145" s="17" t="s">
        <v>14</v>
      </c>
      <c r="D145" s="20" t="s">
        <v>14</v>
      </c>
      <c r="E145" s="20" t="s">
        <v>14</v>
      </c>
      <c r="F145" s="21"/>
      <c r="H145">
        <v>3</v>
      </c>
      <c r="J145">
        <f t="shared" si="2"/>
        <v>3</v>
      </c>
      <c r="K145" t="s">
        <v>14</v>
      </c>
    </row>
    <row r="146" spans="1:11" ht="25.5" customHeight="1" x14ac:dyDescent="0.45">
      <c r="A146" s="15" t="s">
        <v>162</v>
      </c>
      <c r="B146" s="16" t="s">
        <v>178</v>
      </c>
      <c r="C146" s="17" t="s">
        <v>14</v>
      </c>
      <c r="D146" s="20" t="s">
        <v>14</v>
      </c>
      <c r="E146" s="20" t="s">
        <v>14</v>
      </c>
      <c r="F146" s="21"/>
      <c r="H146">
        <v>1</v>
      </c>
      <c r="I146">
        <v>1</v>
      </c>
      <c r="J146">
        <f t="shared" si="2"/>
        <v>2</v>
      </c>
      <c r="K146" t="s">
        <v>14</v>
      </c>
    </row>
    <row r="147" spans="1:11" ht="25.5" customHeight="1" x14ac:dyDescent="0.45">
      <c r="A147" s="15" t="s">
        <v>179</v>
      </c>
      <c r="B147" s="16" t="s">
        <v>180</v>
      </c>
      <c r="C147" s="17" t="s">
        <v>14</v>
      </c>
      <c r="D147" s="20" t="s">
        <v>14</v>
      </c>
      <c r="E147" s="20" t="s">
        <v>14</v>
      </c>
      <c r="F147" s="21"/>
      <c r="I147">
        <v>4</v>
      </c>
      <c r="J147">
        <f t="shared" si="2"/>
        <v>4</v>
      </c>
      <c r="K147" t="s">
        <v>14</v>
      </c>
    </row>
    <row r="148" spans="1:11" ht="25.5" customHeight="1" x14ac:dyDescent="0.45">
      <c r="A148" s="15" t="s">
        <v>179</v>
      </c>
      <c r="B148" s="16" t="s">
        <v>181</v>
      </c>
      <c r="C148" s="17" t="s">
        <v>14</v>
      </c>
      <c r="D148" s="20" t="s">
        <v>14</v>
      </c>
      <c r="E148" s="20" t="s">
        <v>14</v>
      </c>
      <c r="F148" s="21"/>
      <c r="I148">
        <v>3</v>
      </c>
      <c r="J148">
        <f t="shared" si="2"/>
        <v>3</v>
      </c>
      <c r="K148" t="s">
        <v>14</v>
      </c>
    </row>
    <row r="149" spans="1:11" ht="25.5" customHeight="1" x14ac:dyDescent="0.45">
      <c r="A149" s="15" t="s">
        <v>179</v>
      </c>
      <c r="B149" s="16" t="s">
        <v>182</v>
      </c>
      <c r="C149" s="17" t="s">
        <v>14</v>
      </c>
      <c r="D149" s="18" t="s">
        <v>14</v>
      </c>
      <c r="E149" s="18" t="s">
        <v>14</v>
      </c>
      <c r="F149" s="19"/>
      <c r="J149">
        <f t="shared" si="2"/>
        <v>0</v>
      </c>
    </row>
    <row r="150" spans="1:11" ht="25.5" customHeight="1" x14ac:dyDescent="0.45">
      <c r="A150" s="15" t="s">
        <v>179</v>
      </c>
      <c r="B150" s="16" t="s">
        <v>183</v>
      </c>
      <c r="C150" s="17" t="s">
        <v>14</v>
      </c>
      <c r="D150" s="18" t="s">
        <v>14</v>
      </c>
      <c r="E150" s="18" t="s">
        <v>14</v>
      </c>
      <c r="F150" s="19"/>
      <c r="I150">
        <v>1</v>
      </c>
      <c r="J150">
        <f t="shared" si="2"/>
        <v>1</v>
      </c>
      <c r="K150" t="s">
        <v>13</v>
      </c>
    </row>
    <row r="151" spans="1:11" x14ac:dyDescent="0.45">
      <c r="A151" s="15" t="s">
        <v>179</v>
      </c>
      <c r="B151" s="16" t="s">
        <v>184</v>
      </c>
      <c r="C151" s="17" t="s">
        <v>14</v>
      </c>
      <c r="D151" s="18" t="s">
        <v>14</v>
      </c>
      <c r="E151" s="18" t="s">
        <v>14</v>
      </c>
      <c r="F151" s="19"/>
      <c r="H151">
        <v>3</v>
      </c>
      <c r="J151">
        <f t="shared" si="2"/>
        <v>3</v>
      </c>
      <c r="K151" t="s">
        <v>14</v>
      </c>
    </row>
    <row r="152" spans="1:11" ht="25.5" customHeight="1" x14ac:dyDescent="0.45">
      <c r="A152" s="15" t="s">
        <v>179</v>
      </c>
      <c r="B152" s="16" t="s">
        <v>185</v>
      </c>
      <c r="C152" s="17" t="s">
        <v>14</v>
      </c>
      <c r="D152" s="18" t="s">
        <v>14</v>
      </c>
      <c r="E152" s="18" t="s">
        <v>14</v>
      </c>
      <c r="F152" s="19"/>
      <c r="H152">
        <v>2</v>
      </c>
      <c r="J152">
        <f t="shared" si="2"/>
        <v>2</v>
      </c>
      <c r="K152" t="s">
        <v>14</v>
      </c>
    </row>
    <row r="153" spans="1:11" ht="25.5" customHeight="1" x14ac:dyDescent="0.45">
      <c r="A153" s="15" t="s">
        <v>179</v>
      </c>
      <c r="B153" s="16" t="s">
        <v>186</v>
      </c>
      <c r="C153" s="17" t="s">
        <v>14</v>
      </c>
      <c r="D153" s="20" t="s">
        <v>14</v>
      </c>
      <c r="E153" s="20" t="s">
        <v>14</v>
      </c>
      <c r="F153" s="21"/>
      <c r="H153">
        <v>3</v>
      </c>
      <c r="J153">
        <f t="shared" si="2"/>
        <v>3</v>
      </c>
      <c r="K153" t="s">
        <v>14</v>
      </c>
    </row>
    <row r="154" spans="1:11" ht="25.5" customHeight="1" x14ac:dyDescent="0.45">
      <c r="A154" s="15" t="s">
        <v>179</v>
      </c>
      <c r="B154" s="16" t="s">
        <v>187</v>
      </c>
      <c r="C154" s="17" t="s">
        <v>14</v>
      </c>
      <c r="D154" s="20" t="s">
        <v>14</v>
      </c>
      <c r="E154" s="20" t="s">
        <v>14</v>
      </c>
      <c r="F154" s="21"/>
      <c r="H154">
        <v>2</v>
      </c>
      <c r="J154">
        <f t="shared" si="2"/>
        <v>2</v>
      </c>
      <c r="K154" t="s">
        <v>14</v>
      </c>
    </row>
    <row r="155" spans="1:11" ht="25.5" customHeight="1" x14ac:dyDescent="0.45">
      <c r="A155" s="15" t="s">
        <v>179</v>
      </c>
      <c r="B155" s="16" t="s">
        <v>188</v>
      </c>
      <c r="C155" s="17" t="s">
        <v>14</v>
      </c>
      <c r="D155" s="18" t="s">
        <v>14</v>
      </c>
      <c r="E155" s="18" t="s">
        <v>13</v>
      </c>
      <c r="F155" s="19"/>
      <c r="J155">
        <f t="shared" si="2"/>
        <v>0</v>
      </c>
    </row>
    <row r="156" spans="1:11" ht="25.5" customHeight="1" x14ac:dyDescent="0.45">
      <c r="A156" s="15" t="s">
        <v>179</v>
      </c>
      <c r="B156" s="16" t="s">
        <v>189</v>
      </c>
      <c r="C156" s="17" t="s">
        <v>14</v>
      </c>
      <c r="D156" s="18" t="s">
        <v>14</v>
      </c>
      <c r="E156" s="18" t="s">
        <v>13</v>
      </c>
      <c r="F156" s="19"/>
      <c r="J156">
        <f t="shared" si="2"/>
        <v>0</v>
      </c>
    </row>
    <row r="157" spans="1:11" ht="25.5" customHeight="1" x14ac:dyDescent="0.45">
      <c r="A157" s="15" t="s">
        <v>179</v>
      </c>
      <c r="B157" s="16" t="s">
        <v>190</v>
      </c>
      <c r="C157" s="17" t="s">
        <v>14</v>
      </c>
      <c r="D157" s="20" t="s">
        <v>14</v>
      </c>
      <c r="E157" s="20" t="s">
        <v>14</v>
      </c>
      <c r="F157" s="21"/>
      <c r="I157">
        <v>2</v>
      </c>
      <c r="J157">
        <f t="shared" si="2"/>
        <v>2</v>
      </c>
      <c r="K157" t="s">
        <v>14</v>
      </c>
    </row>
    <row r="158" spans="1:11" ht="25.5" customHeight="1" x14ac:dyDescent="0.45">
      <c r="A158" s="15" t="s">
        <v>179</v>
      </c>
      <c r="B158" s="16" t="s">
        <v>191</v>
      </c>
      <c r="C158" s="17" t="s">
        <v>14</v>
      </c>
      <c r="D158" s="20" t="s">
        <v>14</v>
      </c>
      <c r="E158" s="20" t="s">
        <v>14</v>
      </c>
      <c r="F158" s="21"/>
      <c r="I158">
        <v>3</v>
      </c>
      <c r="J158">
        <f t="shared" si="2"/>
        <v>3</v>
      </c>
      <c r="K158" t="s">
        <v>14</v>
      </c>
    </row>
    <row r="159" spans="1:11" ht="25.5" customHeight="1" x14ac:dyDescent="0.45">
      <c r="A159" s="15" t="s">
        <v>179</v>
      </c>
      <c r="B159" s="16" t="s">
        <v>192</v>
      </c>
      <c r="C159" s="17" t="s">
        <v>14</v>
      </c>
      <c r="D159" s="18" t="s">
        <v>14</v>
      </c>
      <c r="E159" s="18" t="s">
        <v>13</v>
      </c>
      <c r="F159" s="19"/>
      <c r="I159">
        <v>1</v>
      </c>
      <c r="J159">
        <f t="shared" si="2"/>
        <v>1</v>
      </c>
      <c r="K159" t="s">
        <v>13</v>
      </c>
    </row>
    <row r="160" spans="1:11" ht="28.5" customHeight="1" x14ac:dyDescent="0.45">
      <c r="A160" s="15" t="s">
        <v>179</v>
      </c>
      <c r="B160" s="16" t="s">
        <v>193</v>
      </c>
      <c r="C160" s="17" t="s">
        <v>13</v>
      </c>
      <c r="D160" s="18" t="s">
        <v>13</v>
      </c>
      <c r="E160" s="18" t="s">
        <v>13</v>
      </c>
      <c r="F160" s="19" t="s">
        <v>194</v>
      </c>
      <c r="J160">
        <f t="shared" si="2"/>
        <v>0</v>
      </c>
    </row>
    <row r="161" spans="1:11" ht="25.5" customHeight="1" x14ac:dyDescent="0.45">
      <c r="A161" s="15" t="s">
        <v>179</v>
      </c>
      <c r="B161" s="16" t="s">
        <v>195</v>
      </c>
      <c r="C161" s="17" t="s">
        <v>14</v>
      </c>
      <c r="D161" s="20" t="s">
        <v>14</v>
      </c>
      <c r="E161" s="20" t="s">
        <v>14</v>
      </c>
      <c r="F161" s="21"/>
      <c r="I161">
        <v>4</v>
      </c>
      <c r="J161">
        <f t="shared" si="2"/>
        <v>4</v>
      </c>
      <c r="K161" t="s">
        <v>14</v>
      </c>
    </row>
    <row r="162" spans="1:11" ht="25.5" customHeight="1" x14ac:dyDescent="0.45">
      <c r="A162" s="15" t="s">
        <v>179</v>
      </c>
      <c r="B162" s="16" t="s">
        <v>196</v>
      </c>
      <c r="C162" s="17" t="s">
        <v>14</v>
      </c>
      <c r="D162" s="20" t="s">
        <v>14</v>
      </c>
      <c r="E162" s="20" t="s">
        <v>14</v>
      </c>
      <c r="F162" s="21"/>
      <c r="I162">
        <v>5</v>
      </c>
      <c r="J162">
        <f t="shared" si="2"/>
        <v>5</v>
      </c>
      <c r="K162" t="s">
        <v>14</v>
      </c>
    </row>
    <row r="163" spans="1:11" x14ac:dyDescent="0.45">
      <c r="A163" s="15" t="s">
        <v>197</v>
      </c>
      <c r="B163" s="16" t="s">
        <v>198</v>
      </c>
      <c r="C163" s="17" t="s">
        <v>14</v>
      </c>
      <c r="D163" s="18" t="s">
        <v>14</v>
      </c>
      <c r="E163" s="18" t="s">
        <v>13</v>
      </c>
      <c r="F163" s="19"/>
      <c r="J163">
        <f t="shared" si="2"/>
        <v>0</v>
      </c>
    </row>
    <row r="164" spans="1:11" x14ac:dyDescent="0.45">
      <c r="A164" s="15" t="s">
        <v>197</v>
      </c>
      <c r="B164" s="16" t="s">
        <v>199</v>
      </c>
      <c r="C164" s="17" t="s">
        <v>14</v>
      </c>
      <c r="D164" s="18" t="s">
        <v>13</v>
      </c>
      <c r="E164" s="18" t="s">
        <v>13</v>
      </c>
      <c r="F164" s="19"/>
      <c r="J164">
        <f t="shared" si="2"/>
        <v>0</v>
      </c>
    </row>
    <row r="165" spans="1:11" x14ac:dyDescent="0.45">
      <c r="A165" s="15" t="s">
        <v>197</v>
      </c>
      <c r="B165" s="16" t="s">
        <v>200</v>
      </c>
      <c r="C165" s="17" t="s">
        <v>14</v>
      </c>
      <c r="D165" s="20" t="s">
        <v>14</v>
      </c>
      <c r="E165" s="20" t="s">
        <v>14</v>
      </c>
      <c r="F165" s="21"/>
      <c r="G165">
        <v>4</v>
      </c>
      <c r="J165">
        <f t="shared" si="2"/>
        <v>4</v>
      </c>
      <c r="K165" t="s">
        <v>14</v>
      </c>
    </row>
    <row r="166" spans="1:11" ht="25.5" customHeight="1" x14ac:dyDescent="0.45">
      <c r="A166" s="15" t="s">
        <v>197</v>
      </c>
      <c r="B166" s="16" t="s">
        <v>201</v>
      </c>
      <c r="C166" s="17" t="s">
        <v>13</v>
      </c>
      <c r="D166" s="18" t="s">
        <v>13</v>
      </c>
      <c r="E166" s="18" t="s">
        <v>14</v>
      </c>
      <c r="F166" s="19"/>
      <c r="G166">
        <v>1</v>
      </c>
      <c r="J166">
        <f t="shared" si="2"/>
        <v>1</v>
      </c>
      <c r="K166" t="s">
        <v>13</v>
      </c>
    </row>
    <row r="167" spans="1:11" ht="25.5" customHeight="1" x14ac:dyDescent="0.45">
      <c r="A167" s="15" t="s">
        <v>197</v>
      </c>
      <c r="B167" s="16" t="s">
        <v>202</v>
      </c>
      <c r="C167" s="17" t="s">
        <v>14</v>
      </c>
      <c r="D167" s="20" t="s">
        <v>14</v>
      </c>
      <c r="E167" s="20" t="s">
        <v>14</v>
      </c>
      <c r="F167" s="21"/>
      <c r="G167">
        <v>3</v>
      </c>
      <c r="J167">
        <f t="shared" si="2"/>
        <v>3</v>
      </c>
      <c r="K167" t="s">
        <v>14</v>
      </c>
    </row>
    <row r="168" spans="1:11" ht="25.5" customHeight="1" x14ac:dyDescent="0.45">
      <c r="A168" s="15" t="s">
        <v>197</v>
      </c>
      <c r="B168" s="16" t="s">
        <v>203</v>
      </c>
      <c r="C168" s="17" t="s">
        <v>14</v>
      </c>
      <c r="D168" s="20" t="s">
        <v>14</v>
      </c>
      <c r="E168" s="20" t="s">
        <v>14</v>
      </c>
      <c r="F168" s="21"/>
      <c r="G168">
        <v>1</v>
      </c>
      <c r="J168">
        <f t="shared" si="2"/>
        <v>1</v>
      </c>
      <c r="K168" t="s">
        <v>13</v>
      </c>
    </row>
    <row r="169" spans="1:11" ht="25.5" customHeight="1" x14ac:dyDescent="0.45">
      <c r="A169" s="15" t="s">
        <v>197</v>
      </c>
      <c r="B169" s="16" t="s">
        <v>204</v>
      </c>
      <c r="C169" s="17" t="s">
        <v>14</v>
      </c>
      <c r="D169" s="18" t="s">
        <v>13</v>
      </c>
      <c r="E169" s="18" t="s">
        <v>13</v>
      </c>
      <c r="F169" s="19"/>
      <c r="J169">
        <f t="shared" si="2"/>
        <v>0</v>
      </c>
    </row>
    <row r="170" spans="1:11" ht="25.5" customHeight="1" x14ac:dyDescent="0.45">
      <c r="A170" s="15" t="s">
        <v>197</v>
      </c>
      <c r="B170" s="16" t="s">
        <v>205</v>
      </c>
      <c r="C170" s="17" t="s">
        <v>14</v>
      </c>
      <c r="D170" s="18" t="s">
        <v>14</v>
      </c>
      <c r="E170" s="18" t="s">
        <v>14</v>
      </c>
      <c r="F170" s="19"/>
      <c r="G170">
        <v>2</v>
      </c>
      <c r="J170">
        <f t="shared" si="2"/>
        <v>2</v>
      </c>
      <c r="K170" t="s">
        <v>14</v>
      </c>
    </row>
    <row r="171" spans="1:11" ht="25.5" customHeight="1" x14ac:dyDescent="0.45">
      <c r="A171" s="15" t="s">
        <v>197</v>
      </c>
      <c r="B171" s="16" t="s">
        <v>206</v>
      </c>
      <c r="C171" s="17" t="s">
        <v>14</v>
      </c>
      <c r="D171" s="20" t="s">
        <v>14</v>
      </c>
      <c r="E171" s="20" t="s">
        <v>14</v>
      </c>
      <c r="F171" s="21"/>
      <c r="G171">
        <v>2</v>
      </c>
      <c r="J171">
        <f t="shared" si="2"/>
        <v>2</v>
      </c>
      <c r="K171" t="s">
        <v>14</v>
      </c>
    </row>
    <row r="172" spans="1:11" ht="25.5" customHeight="1" x14ac:dyDescent="0.45">
      <c r="A172" s="15" t="s">
        <v>197</v>
      </c>
      <c r="B172" s="16" t="s">
        <v>207</v>
      </c>
      <c r="C172" s="17" t="s">
        <v>14</v>
      </c>
      <c r="D172" s="18" t="s">
        <v>14</v>
      </c>
      <c r="E172" s="18" t="s">
        <v>13</v>
      </c>
      <c r="F172" s="19"/>
      <c r="G172">
        <v>1</v>
      </c>
      <c r="J172">
        <f t="shared" si="2"/>
        <v>1</v>
      </c>
      <c r="K172" t="s">
        <v>13</v>
      </c>
    </row>
    <row r="173" spans="1:11" ht="25.5" customHeight="1" x14ac:dyDescent="0.45">
      <c r="A173" s="15" t="s">
        <v>197</v>
      </c>
      <c r="B173" s="16" t="s">
        <v>208</v>
      </c>
      <c r="C173" s="17" t="s">
        <v>14</v>
      </c>
      <c r="D173" s="18" t="s">
        <v>14</v>
      </c>
      <c r="E173" s="18" t="s">
        <v>13</v>
      </c>
      <c r="F173" s="19"/>
      <c r="J173">
        <f t="shared" si="2"/>
        <v>0</v>
      </c>
    </row>
    <row r="174" spans="1:11" ht="25.5" customHeight="1" x14ac:dyDescent="0.45">
      <c r="A174" s="15" t="s">
        <v>197</v>
      </c>
      <c r="B174" s="16" t="s">
        <v>209</v>
      </c>
      <c r="C174" s="17" t="s">
        <v>14</v>
      </c>
      <c r="D174" s="20" t="s">
        <v>14</v>
      </c>
      <c r="E174" s="20" t="s">
        <v>14</v>
      </c>
      <c r="F174" s="21"/>
      <c r="G174">
        <v>3</v>
      </c>
      <c r="J174">
        <f t="shared" si="2"/>
        <v>3</v>
      </c>
      <c r="K174" t="s">
        <v>14</v>
      </c>
    </row>
    <row r="175" spans="1:11" x14ac:dyDescent="0.45">
      <c r="A175" s="15" t="s">
        <v>197</v>
      </c>
      <c r="B175" s="16" t="s">
        <v>210</v>
      </c>
      <c r="C175" s="17" t="s">
        <v>14</v>
      </c>
      <c r="D175" s="18" t="s">
        <v>13</v>
      </c>
      <c r="E175" s="18" t="s">
        <v>13</v>
      </c>
      <c r="F175" s="19"/>
      <c r="J175">
        <f t="shared" si="2"/>
        <v>0</v>
      </c>
    </row>
    <row r="176" spans="1:11" ht="25.5" customHeight="1" x14ac:dyDescent="0.45">
      <c r="A176" s="15" t="s">
        <v>197</v>
      </c>
      <c r="B176" s="16" t="s">
        <v>211</v>
      </c>
      <c r="C176" s="17" t="s">
        <v>14</v>
      </c>
      <c r="D176" s="18" t="s">
        <v>14</v>
      </c>
      <c r="E176" s="18" t="s">
        <v>13</v>
      </c>
      <c r="F176" s="19"/>
      <c r="J176">
        <f t="shared" si="2"/>
        <v>0</v>
      </c>
    </row>
    <row r="177" spans="1:11" ht="25.5" customHeight="1" x14ac:dyDescent="0.45">
      <c r="A177" s="15" t="s">
        <v>197</v>
      </c>
      <c r="B177" s="16" t="s">
        <v>212</v>
      </c>
      <c r="C177" s="17" t="s">
        <v>14</v>
      </c>
      <c r="D177" s="20" t="s">
        <v>14</v>
      </c>
      <c r="E177" s="20" t="s">
        <v>13</v>
      </c>
      <c r="F177" s="21"/>
      <c r="J177">
        <f t="shared" si="2"/>
        <v>0</v>
      </c>
    </row>
    <row r="178" spans="1:11" ht="25.5" customHeight="1" x14ac:dyDescent="0.45">
      <c r="A178" s="15" t="s">
        <v>197</v>
      </c>
      <c r="B178" s="16" t="s">
        <v>213</v>
      </c>
      <c r="C178" s="17" t="s">
        <v>13</v>
      </c>
      <c r="D178" s="18" t="s">
        <v>13</v>
      </c>
      <c r="E178" s="18" t="s">
        <v>13</v>
      </c>
      <c r="F178" s="19" t="s">
        <v>105</v>
      </c>
      <c r="J178">
        <f t="shared" si="2"/>
        <v>0</v>
      </c>
    </row>
    <row r="179" spans="1:11" ht="25.5" customHeight="1" x14ac:dyDescent="0.45">
      <c r="A179" s="15" t="s">
        <v>197</v>
      </c>
      <c r="B179" s="16" t="s">
        <v>214</v>
      </c>
      <c r="C179" s="17" t="s">
        <v>14</v>
      </c>
      <c r="D179" s="18" t="s">
        <v>14</v>
      </c>
      <c r="E179" s="18" t="s">
        <v>13</v>
      </c>
      <c r="F179" s="19"/>
      <c r="J179">
        <f t="shared" si="2"/>
        <v>0</v>
      </c>
    </row>
    <row r="180" spans="1:11" ht="25.5" customHeight="1" x14ac:dyDescent="0.45">
      <c r="A180" s="15" t="s">
        <v>197</v>
      </c>
      <c r="B180" s="16" t="s">
        <v>215</v>
      </c>
      <c r="C180" s="17" t="s">
        <v>14</v>
      </c>
      <c r="D180" s="20" t="s">
        <v>14</v>
      </c>
      <c r="E180" s="20" t="s">
        <v>14</v>
      </c>
      <c r="F180" s="21" t="s">
        <v>216</v>
      </c>
      <c r="J180">
        <f t="shared" si="2"/>
        <v>0</v>
      </c>
    </row>
    <row r="181" spans="1:11" ht="25.5" customHeight="1" x14ac:dyDescent="0.45">
      <c r="A181" s="15" t="s">
        <v>217</v>
      </c>
      <c r="B181" s="16" t="s">
        <v>218</v>
      </c>
      <c r="C181" s="17" t="s">
        <v>14</v>
      </c>
      <c r="D181" s="18" t="s">
        <v>14</v>
      </c>
      <c r="E181" s="18" t="s">
        <v>14</v>
      </c>
      <c r="F181" s="19"/>
      <c r="I181">
        <v>2</v>
      </c>
      <c r="J181">
        <f t="shared" si="2"/>
        <v>2</v>
      </c>
      <c r="K181" t="s">
        <v>14</v>
      </c>
    </row>
    <row r="182" spans="1:11" ht="25.5" customHeight="1" x14ac:dyDescent="0.45">
      <c r="A182" s="15" t="s">
        <v>217</v>
      </c>
      <c r="B182" s="16" t="s">
        <v>219</v>
      </c>
      <c r="C182" s="17" t="s">
        <v>14</v>
      </c>
      <c r="D182" s="18" t="s">
        <v>14</v>
      </c>
      <c r="E182" s="18" t="s">
        <v>14</v>
      </c>
      <c r="F182" s="19"/>
      <c r="J182">
        <f t="shared" si="2"/>
        <v>0</v>
      </c>
    </row>
    <row r="183" spans="1:11" ht="25.5" customHeight="1" x14ac:dyDescent="0.45">
      <c r="A183" s="15" t="s">
        <v>217</v>
      </c>
      <c r="B183" s="16" t="s">
        <v>220</v>
      </c>
      <c r="C183" s="17" t="s">
        <v>14</v>
      </c>
      <c r="D183" s="18" t="s">
        <v>14</v>
      </c>
      <c r="E183" s="18" t="s">
        <v>14</v>
      </c>
      <c r="F183" s="19"/>
      <c r="I183">
        <v>3</v>
      </c>
      <c r="J183">
        <f t="shared" si="2"/>
        <v>3</v>
      </c>
      <c r="K183" t="s">
        <v>14</v>
      </c>
    </row>
    <row r="184" spans="1:11" ht="25.5" customHeight="1" x14ac:dyDescent="0.45">
      <c r="A184" s="15" t="s">
        <v>217</v>
      </c>
      <c r="B184" s="16" t="s">
        <v>221</v>
      </c>
      <c r="C184" s="17" t="s">
        <v>14</v>
      </c>
      <c r="D184" s="18" t="s">
        <v>14</v>
      </c>
      <c r="E184" s="18" t="s">
        <v>13</v>
      </c>
      <c r="F184" s="19"/>
      <c r="J184">
        <f t="shared" si="2"/>
        <v>0</v>
      </c>
    </row>
    <row r="185" spans="1:11" ht="25.5" customHeight="1" x14ac:dyDescent="0.45">
      <c r="A185" s="15" t="s">
        <v>217</v>
      </c>
      <c r="B185" s="16" t="s">
        <v>222</v>
      </c>
      <c r="C185" s="17" t="s">
        <v>13</v>
      </c>
      <c r="D185" s="18" t="s">
        <v>13</v>
      </c>
      <c r="E185" s="18" t="s">
        <v>14</v>
      </c>
      <c r="F185" s="19" t="s">
        <v>216</v>
      </c>
      <c r="J185">
        <f t="shared" si="2"/>
        <v>0</v>
      </c>
    </row>
    <row r="186" spans="1:11" ht="25.5" customHeight="1" x14ac:dyDescent="0.45">
      <c r="A186" s="15" t="s">
        <v>217</v>
      </c>
      <c r="B186" s="16" t="s">
        <v>223</v>
      </c>
      <c r="C186" s="17" t="s">
        <v>14</v>
      </c>
      <c r="D186" s="20" t="s">
        <v>14</v>
      </c>
      <c r="E186" s="20" t="s">
        <v>14</v>
      </c>
      <c r="F186" s="21"/>
      <c r="H186">
        <v>1</v>
      </c>
      <c r="J186">
        <f t="shared" si="2"/>
        <v>1</v>
      </c>
      <c r="K186" t="s">
        <v>13</v>
      </c>
    </row>
    <row r="187" spans="1:11" ht="25.5" customHeight="1" x14ac:dyDescent="0.45">
      <c r="A187" s="15" t="s">
        <v>217</v>
      </c>
      <c r="B187" s="16" t="s">
        <v>224</v>
      </c>
      <c r="C187" s="17" t="s">
        <v>14</v>
      </c>
      <c r="D187" s="18" t="s">
        <v>14</v>
      </c>
      <c r="E187" s="18" t="s">
        <v>13</v>
      </c>
      <c r="F187" s="19"/>
      <c r="J187">
        <f t="shared" si="2"/>
        <v>0</v>
      </c>
    </row>
    <row r="188" spans="1:11" ht="25.5" customHeight="1" x14ac:dyDescent="0.45">
      <c r="A188" s="15" t="s">
        <v>217</v>
      </c>
      <c r="B188" s="16" t="s">
        <v>225</v>
      </c>
      <c r="C188" s="17" t="s">
        <v>14</v>
      </c>
      <c r="D188" s="20" t="s">
        <v>14</v>
      </c>
      <c r="E188" s="20" t="s">
        <v>14</v>
      </c>
      <c r="F188" s="21"/>
      <c r="I188">
        <v>2</v>
      </c>
      <c r="J188">
        <f t="shared" si="2"/>
        <v>2</v>
      </c>
      <c r="K188" t="s">
        <v>14</v>
      </c>
    </row>
    <row r="189" spans="1:11" ht="25.5" customHeight="1" x14ac:dyDescent="0.45">
      <c r="A189" s="15" t="s">
        <v>217</v>
      </c>
      <c r="B189" s="16" t="s">
        <v>226</v>
      </c>
      <c r="C189" s="17" t="s">
        <v>14</v>
      </c>
      <c r="D189" s="18" t="s">
        <v>14</v>
      </c>
      <c r="E189" s="18" t="s">
        <v>13</v>
      </c>
      <c r="F189" s="19"/>
      <c r="I189">
        <v>1</v>
      </c>
      <c r="J189">
        <f t="shared" si="2"/>
        <v>1</v>
      </c>
      <c r="K189" t="s">
        <v>13</v>
      </c>
    </row>
    <row r="190" spans="1:11" ht="25.5" customHeight="1" x14ac:dyDescent="0.45">
      <c r="A190" s="15" t="s">
        <v>217</v>
      </c>
      <c r="B190" s="16" t="s">
        <v>227</v>
      </c>
      <c r="C190" s="17" t="s">
        <v>14</v>
      </c>
      <c r="D190" s="18" t="s">
        <v>14</v>
      </c>
      <c r="E190" s="18" t="s">
        <v>13</v>
      </c>
      <c r="F190" s="19"/>
      <c r="J190">
        <f t="shared" si="2"/>
        <v>0</v>
      </c>
    </row>
    <row r="191" spans="1:11" x14ac:dyDescent="0.45">
      <c r="A191" s="15" t="s">
        <v>217</v>
      </c>
      <c r="B191" s="16" t="s">
        <v>228</v>
      </c>
      <c r="C191" s="17" t="s">
        <v>14</v>
      </c>
      <c r="D191" s="18" t="s">
        <v>14</v>
      </c>
      <c r="E191" s="18" t="s">
        <v>13</v>
      </c>
      <c r="F191" s="19"/>
      <c r="J191">
        <f t="shared" si="2"/>
        <v>0</v>
      </c>
    </row>
    <row r="192" spans="1:11" ht="25.5" customHeight="1" x14ac:dyDescent="0.45">
      <c r="A192" s="15" t="s">
        <v>217</v>
      </c>
      <c r="B192" s="16" t="s">
        <v>229</v>
      </c>
      <c r="C192" s="17" t="s">
        <v>14</v>
      </c>
      <c r="D192" s="18" t="s">
        <v>14</v>
      </c>
      <c r="E192" s="18" t="s">
        <v>13</v>
      </c>
      <c r="F192" s="19"/>
      <c r="J192">
        <f t="shared" si="2"/>
        <v>0</v>
      </c>
    </row>
    <row r="193" spans="1:11" ht="25.5" customHeight="1" x14ac:dyDescent="0.45">
      <c r="A193" s="15" t="s">
        <v>217</v>
      </c>
      <c r="B193" s="16" t="s">
        <v>230</v>
      </c>
      <c r="C193" s="17" t="s">
        <v>14</v>
      </c>
      <c r="D193" s="20" t="s">
        <v>14</v>
      </c>
      <c r="E193" s="20" t="s">
        <v>14</v>
      </c>
      <c r="F193" s="21"/>
      <c r="J193">
        <f t="shared" si="2"/>
        <v>0</v>
      </c>
    </row>
    <row r="194" spans="1:11" x14ac:dyDescent="0.45">
      <c r="A194" s="15" t="s">
        <v>217</v>
      </c>
      <c r="B194" s="16" t="s">
        <v>231</v>
      </c>
      <c r="C194" s="17" t="s">
        <v>14</v>
      </c>
      <c r="D194" s="18" t="s">
        <v>14</v>
      </c>
      <c r="E194" s="18" t="s">
        <v>13</v>
      </c>
      <c r="F194" s="19"/>
      <c r="J194">
        <f t="shared" ref="J194:J257" si="3">SUM(G194:I194)</f>
        <v>0</v>
      </c>
    </row>
    <row r="195" spans="1:11" ht="25.5" customHeight="1" x14ac:dyDescent="0.45">
      <c r="A195" s="15" t="s">
        <v>217</v>
      </c>
      <c r="B195" s="16" t="s">
        <v>232</v>
      </c>
      <c r="C195" s="17" t="s">
        <v>13</v>
      </c>
      <c r="D195" s="18" t="s">
        <v>13</v>
      </c>
      <c r="E195" s="18" t="s">
        <v>13</v>
      </c>
      <c r="F195" s="19"/>
      <c r="J195">
        <f t="shared" si="3"/>
        <v>0</v>
      </c>
    </row>
    <row r="196" spans="1:11" ht="25.5" customHeight="1" x14ac:dyDescent="0.45">
      <c r="A196" s="15" t="s">
        <v>217</v>
      </c>
      <c r="B196" s="16" t="s">
        <v>233</v>
      </c>
      <c r="C196" s="17" t="s">
        <v>13</v>
      </c>
      <c r="D196" s="18" t="s">
        <v>13</v>
      </c>
      <c r="E196" s="18" t="s">
        <v>13</v>
      </c>
      <c r="F196" s="19"/>
      <c r="J196">
        <f t="shared" si="3"/>
        <v>0</v>
      </c>
    </row>
    <row r="197" spans="1:11" ht="25.5" customHeight="1" x14ac:dyDescent="0.45">
      <c r="A197" s="15" t="s">
        <v>217</v>
      </c>
      <c r="B197" s="16" t="s">
        <v>234</v>
      </c>
      <c r="C197" s="17" t="s">
        <v>13</v>
      </c>
      <c r="D197" s="18" t="s">
        <v>13</v>
      </c>
      <c r="E197" s="18" t="s">
        <v>13</v>
      </c>
      <c r="F197" s="19"/>
      <c r="J197">
        <f t="shared" si="3"/>
        <v>0</v>
      </c>
    </row>
    <row r="198" spans="1:11" ht="25.5" customHeight="1" x14ac:dyDescent="0.45">
      <c r="A198" s="15" t="s">
        <v>217</v>
      </c>
      <c r="B198" s="16" t="s">
        <v>235</v>
      </c>
      <c r="C198" s="17" t="s">
        <v>13</v>
      </c>
      <c r="D198" s="18" t="s">
        <v>13</v>
      </c>
      <c r="E198" s="18" t="s">
        <v>13</v>
      </c>
      <c r="F198" s="19"/>
      <c r="J198">
        <f t="shared" si="3"/>
        <v>0</v>
      </c>
    </row>
    <row r="199" spans="1:11" ht="25.5" customHeight="1" x14ac:dyDescent="0.45">
      <c r="A199" s="15" t="s">
        <v>217</v>
      </c>
      <c r="B199" s="16" t="s">
        <v>236</v>
      </c>
      <c r="C199" s="17" t="s">
        <v>14</v>
      </c>
      <c r="D199" s="18" t="s">
        <v>14</v>
      </c>
      <c r="E199" s="18" t="s">
        <v>13</v>
      </c>
      <c r="F199" s="19"/>
      <c r="J199">
        <f t="shared" si="3"/>
        <v>0</v>
      </c>
    </row>
    <row r="200" spans="1:11" x14ac:dyDescent="0.45">
      <c r="A200" s="15" t="s">
        <v>237</v>
      </c>
      <c r="B200" s="16" t="s">
        <v>238</v>
      </c>
      <c r="C200" s="17" t="s">
        <v>14</v>
      </c>
      <c r="D200" s="20" t="s">
        <v>14</v>
      </c>
      <c r="E200" s="20" t="s">
        <v>14</v>
      </c>
      <c r="F200" s="21"/>
      <c r="H200">
        <v>2</v>
      </c>
      <c r="J200">
        <f t="shared" si="3"/>
        <v>2</v>
      </c>
      <c r="K200" t="s">
        <v>14</v>
      </c>
    </row>
    <row r="201" spans="1:11" x14ac:dyDescent="0.45">
      <c r="A201" s="15" t="s">
        <v>237</v>
      </c>
      <c r="B201" s="16" t="s">
        <v>239</v>
      </c>
      <c r="C201" s="17" t="s">
        <v>14</v>
      </c>
      <c r="D201" s="18" t="s">
        <v>14</v>
      </c>
      <c r="E201" s="18" t="s">
        <v>14</v>
      </c>
      <c r="F201" s="19"/>
      <c r="H201">
        <v>1</v>
      </c>
      <c r="J201">
        <f t="shared" si="3"/>
        <v>1</v>
      </c>
      <c r="K201" t="s">
        <v>13</v>
      </c>
    </row>
    <row r="202" spans="1:11" ht="25.5" customHeight="1" x14ac:dyDescent="0.45">
      <c r="A202" s="15" t="s">
        <v>237</v>
      </c>
      <c r="B202" s="16" t="s">
        <v>240</v>
      </c>
      <c r="C202" s="17" t="s">
        <v>14</v>
      </c>
      <c r="D202" s="18" t="s">
        <v>13</v>
      </c>
      <c r="E202" s="18" t="s">
        <v>14</v>
      </c>
      <c r="F202" s="19"/>
      <c r="J202">
        <f t="shared" si="3"/>
        <v>0</v>
      </c>
    </row>
    <row r="203" spans="1:11" ht="25.5" customHeight="1" x14ac:dyDescent="0.45">
      <c r="A203" s="15" t="s">
        <v>237</v>
      </c>
      <c r="B203" s="16" t="s">
        <v>241</v>
      </c>
      <c r="C203" s="17" t="s">
        <v>14</v>
      </c>
      <c r="D203" s="18" t="s">
        <v>14</v>
      </c>
      <c r="E203" s="18" t="s">
        <v>14</v>
      </c>
      <c r="F203" s="19"/>
      <c r="J203">
        <f t="shared" si="3"/>
        <v>0</v>
      </c>
    </row>
    <row r="204" spans="1:11" ht="25.5" customHeight="1" x14ac:dyDescent="0.45">
      <c r="A204" s="15" t="s">
        <v>237</v>
      </c>
      <c r="B204" s="16" t="s">
        <v>242</v>
      </c>
      <c r="C204" s="17" t="s">
        <v>14</v>
      </c>
      <c r="D204" s="18" t="s">
        <v>14</v>
      </c>
      <c r="E204" s="18" t="s">
        <v>14</v>
      </c>
      <c r="F204" s="19"/>
      <c r="J204">
        <f t="shared" si="3"/>
        <v>0</v>
      </c>
    </row>
    <row r="205" spans="1:11" ht="25.5" customHeight="1" x14ac:dyDescent="0.45">
      <c r="A205" s="15" t="s">
        <v>237</v>
      </c>
      <c r="B205" s="16" t="s">
        <v>243</v>
      </c>
      <c r="C205" s="17" t="s">
        <v>13</v>
      </c>
      <c r="D205" s="18" t="s">
        <v>13</v>
      </c>
      <c r="E205" s="18" t="s">
        <v>14</v>
      </c>
      <c r="F205" s="19"/>
      <c r="J205">
        <f t="shared" si="3"/>
        <v>0</v>
      </c>
    </row>
    <row r="206" spans="1:11" ht="25.5" customHeight="1" x14ac:dyDescent="0.45">
      <c r="A206" s="15" t="s">
        <v>237</v>
      </c>
      <c r="B206" s="16" t="s">
        <v>244</v>
      </c>
      <c r="C206" s="17" t="s">
        <v>13</v>
      </c>
      <c r="D206" s="18" t="s">
        <v>13</v>
      </c>
      <c r="E206" s="18" t="s">
        <v>14</v>
      </c>
      <c r="F206" s="19"/>
      <c r="J206">
        <f t="shared" si="3"/>
        <v>0</v>
      </c>
    </row>
    <row r="207" spans="1:11" ht="25.5" customHeight="1" x14ac:dyDescent="0.45">
      <c r="A207" s="15" t="s">
        <v>237</v>
      </c>
      <c r="B207" s="16" t="s">
        <v>245</v>
      </c>
      <c r="C207" s="17" t="s">
        <v>13</v>
      </c>
      <c r="D207" s="18" t="s">
        <v>13</v>
      </c>
      <c r="E207" s="18" t="s">
        <v>13</v>
      </c>
      <c r="F207" s="19"/>
      <c r="J207">
        <f t="shared" si="3"/>
        <v>0</v>
      </c>
    </row>
    <row r="208" spans="1:11" ht="28.5" customHeight="1" x14ac:dyDescent="0.45">
      <c r="A208" s="15" t="s">
        <v>237</v>
      </c>
      <c r="B208" s="16" t="s">
        <v>246</v>
      </c>
      <c r="C208" s="17" t="s">
        <v>13</v>
      </c>
      <c r="D208" s="18" t="s">
        <v>13</v>
      </c>
      <c r="E208" s="18" t="s">
        <v>13</v>
      </c>
      <c r="F208" s="19" t="s">
        <v>247</v>
      </c>
      <c r="J208">
        <f t="shared" si="3"/>
        <v>0</v>
      </c>
    </row>
    <row r="209" spans="1:11" ht="25.5" customHeight="1" x14ac:dyDescent="0.45">
      <c r="A209" s="15" t="s">
        <v>237</v>
      </c>
      <c r="B209" s="16" t="s">
        <v>248</v>
      </c>
      <c r="C209" s="17" t="s">
        <v>14</v>
      </c>
      <c r="D209" s="18" t="s">
        <v>14</v>
      </c>
      <c r="E209" s="18" t="s">
        <v>14</v>
      </c>
      <c r="F209" s="19" t="s">
        <v>249</v>
      </c>
      <c r="H209">
        <v>3</v>
      </c>
      <c r="J209">
        <f t="shared" si="3"/>
        <v>3</v>
      </c>
      <c r="K209" t="s">
        <v>14</v>
      </c>
    </row>
    <row r="210" spans="1:11" ht="25.5" customHeight="1" x14ac:dyDescent="0.45">
      <c r="A210" s="15" t="s">
        <v>237</v>
      </c>
      <c r="B210" s="16" t="s">
        <v>250</v>
      </c>
      <c r="C210" s="17" t="s">
        <v>14</v>
      </c>
      <c r="D210" s="18" t="s">
        <v>14</v>
      </c>
      <c r="E210" s="18" t="s">
        <v>14</v>
      </c>
      <c r="F210" s="19"/>
      <c r="J210">
        <f t="shared" si="3"/>
        <v>0</v>
      </c>
    </row>
    <row r="211" spans="1:11" ht="25.5" customHeight="1" x14ac:dyDescent="0.45">
      <c r="A211" s="15" t="s">
        <v>237</v>
      </c>
      <c r="B211" s="16" t="s">
        <v>251</v>
      </c>
      <c r="C211" s="17" t="s">
        <v>13</v>
      </c>
      <c r="D211" s="18" t="s">
        <v>13</v>
      </c>
      <c r="E211" s="18" t="s">
        <v>13</v>
      </c>
      <c r="F211" s="19"/>
      <c r="J211">
        <f t="shared" si="3"/>
        <v>0</v>
      </c>
    </row>
    <row r="212" spans="1:11" ht="25.5" customHeight="1" x14ac:dyDescent="0.45">
      <c r="A212" s="15" t="s">
        <v>237</v>
      </c>
      <c r="B212" s="16" t="s">
        <v>252</v>
      </c>
      <c r="C212" s="17" t="s">
        <v>14</v>
      </c>
      <c r="D212" s="18" t="s">
        <v>14</v>
      </c>
      <c r="E212" s="18" t="s">
        <v>14</v>
      </c>
      <c r="F212" s="19"/>
      <c r="J212">
        <f t="shared" si="3"/>
        <v>0</v>
      </c>
    </row>
    <row r="213" spans="1:11" ht="25.5" customHeight="1" x14ac:dyDescent="0.45">
      <c r="A213" s="15" t="s">
        <v>253</v>
      </c>
      <c r="B213" s="16" t="s">
        <v>254</v>
      </c>
      <c r="C213" s="17" t="s">
        <v>14</v>
      </c>
      <c r="D213" s="18" t="s">
        <v>14</v>
      </c>
      <c r="E213" s="18" t="s">
        <v>14</v>
      </c>
      <c r="F213" s="19"/>
      <c r="J213">
        <f t="shared" si="3"/>
        <v>0</v>
      </c>
    </row>
    <row r="214" spans="1:11" ht="25.5" customHeight="1" x14ac:dyDescent="0.45">
      <c r="A214" s="15" t="s">
        <v>253</v>
      </c>
      <c r="B214" s="16" t="s">
        <v>255</v>
      </c>
      <c r="C214" s="17" t="s">
        <v>14</v>
      </c>
      <c r="D214" s="18" t="s">
        <v>14</v>
      </c>
      <c r="E214" s="18" t="s">
        <v>14</v>
      </c>
      <c r="F214" s="19"/>
      <c r="J214">
        <f t="shared" si="3"/>
        <v>0</v>
      </c>
    </row>
    <row r="215" spans="1:11" ht="25.5" customHeight="1" x14ac:dyDescent="0.45">
      <c r="A215" s="15" t="s">
        <v>253</v>
      </c>
      <c r="B215" s="16" t="s">
        <v>256</v>
      </c>
      <c r="C215" s="17" t="s">
        <v>14</v>
      </c>
      <c r="D215" s="18" t="s">
        <v>14</v>
      </c>
      <c r="E215" s="18" t="s">
        <v>14</v>
      </c>
      <c r="F215" s="19"/>
      <c r="I215">
        <v>2</v>
      </c>
      <c r="J215">
        <f t="shared" si="3"/>
        <v>2</v>
      </c>
      <c r="K215" t="s">
        <v>14</v>
      </c>
    </row>
    <row r="216" spans="1:11" ht="25.5" customHeight="1" x14ac:dyDescent="0.45">
      <c r="A216" s="15" t="s">
        <v>253</v>
      </c>
      <c r="B216" s="16" t="s">
        <v>257</v>
      </c>
      <c r="C216" s="17" t="s">
        <v>14</v>
      </c>
      <c r="D216" s="20" t="s">
        <v>14</v>
      </c>
      <c r="E216" s="20" t="s">
        <v>14</v>
      </c>
      <c r="F216" s="21"/>
      <c r="J216">
        <f t="shared" si="3"/>
        <v>0</v>
      </c>
    </row>
    <row r="217" spans="1:11" ht="25.5" customHeight="1" x14ac:dyDescent="0.45">
      <c r="A217" s="15" t="s">
        <v>253</v>
      </c>
      <c r="B217" s="16" t="s">
        <v>258</v>
      </c>
      <c r="C217" s="17" t="s">
        <v>14</v>
      </c>
      <c r="D217" s="18" t="s">
        <v>14</v>
      </c>
      <c r="E217" s="18" t="s">
        <v>14</v>
      </c>
      <c r="F217" s="19"/>
      <c r="H217">
        <v>1</v>
      </c>
      <c r="J217">
        <f t="shared" si="3"/>
        <v>1</v>
      </c>
      <c r="K217" t="s">
        <v>13</v>
      </c>
    </row>
    <row r="218" spans="1:11" ht="25.5" customHeight="1" x14ac:dyDescent="0.45">
      <c r="A218" s="15" t="s">
        <v>253</v>
      </c>
      <c r="B218" s="16" t="s">
        <v>259</v>
      </c>
      <c r="C218" s="17" t="s">
        <v>14</v>
      </c>
      <c r="D218" s="18" t="s">
        <v>14</v>
      </c>
      <c r="E218" s="18" t="s">
        <v>14</v>
      </c>
      <c r="F218" s="19"/>
      <c r="J218">
        <f t="shared" si="3"/>
        <v>0</v>
      </c>
    </row>
    <row r="219" spans="1:11" ht="25.5" customHeight="1" x14ac:dyDescent="0.45">
      <c r="A219" s="15" t="s">
        <v>253</v>
      </c>
      <c r="B219" s="16" t="s">
        <v>260</v>
      </c>
      <c r="C219" s="17" t="s">
        <v>13</v>
      </c>
      <c r="D219" s="18" t="s">
        <v>13</v>
      </c>
      <c r="E219" s="18" t="s">
        <v>14</v>
      </c>
      <c r="F219" s="19"/>
      <c r="J219">
        <f t="shared" si="3"/>
        <v>0</v>
      </c>
    </row>
    <row r="220" spans="1:11" ht="25.5" customHeight="1" x14ac:dyDescent="0.45">
      <c r="A220" s="15" t="s">
        <v>253</v>
      </c>
      <c r="B220" s="16" t="s">
        <v>261</v>
      </c>
      <c r="C220" s="17" t="s">
        <v>13</v>
      </c>
      <c r="D220" s="18" t="s">
        <v>13</v>
      </c>
      <c r="E220" s="18" t="s">
        <v>14</v>
      </c>
      <c r="F220" s="19"/>
      <c r="J220">
        <f t="shared" si="3"/>
        <v>0</v>
      </c>
    </row>
    <row r="221" spans="1:11" ht="25.5" customHeight="1" x14ac:dyDescent="0.45">
      <c r="A221" s="15" t="s">
        <v>253</v>
      </c>
      <c r="B221" s="16" t="s">
        <v>262</v>
      </c>
      <c r="C221" s="17" t="s">
        <v>13</v>
      </c>
      <c r="D221" s="18" t="s">
        <v>13</v>
      </c>
      <c r="E221" s="18" t="s">
        <v>14</v>
      </c>
      <c r="F221" s="19"/>
      <c r="I221">
        <v>1</v>
      </c>
      <c r="J221">
        <f t="shared" si="3"/>
        <v>1</v>
      </c>
      <c r="K221" t="s">
        <v>13</v>
      </c>
    </row>
    <row r="222" spans="1:11" ht="25.5" customHeight="1" x14ac:dyDescent="0.45">
      <c r="A222" s="15" t="s">
        <v>253</v>
      </c>
      <c r="B222" s="16" t="s">
        <v>263</v>
      </c>
      <c r="C222" s="17" t="s">
        <v>14</v>
      </c>
      <c r="D222" s="18" t="s">
        <v>14</v>
      </c>
      <c r="E222" s="18" t="s">
        <v>14</v>
      </c>
      <c r="F222" s="19"/>
      <c r="J222">
        <f t="shared" si="3"/>
        <v>0</v>
      </c>
    </row>
    <row r="223" spans="1:11" ht="25.5" customHeight="1" x14ac:dyDescent="0.45">
      <c r="A223" s="15" t="s">
        <v>253</v>
      </c>
      <c r="B223" s="16" t="s">
        <v>264</v>
      </c>
      <c r="C223" s="17" t="s">
        <v>13</v>
      </c>
      <c r="D223" s="18" t="s">
        <v>13</v>
      </c>
      <c r="E223" s="18" t="s">
        <v>14</v>
      </c>
      <c r="F223" s="19"/>
      <c r="J223">
        <f t="shared" si="3"/>
        <v>0</v>
      </c>
    </row>
    <row r="224" spans="1:11" ht="25.5" customHeight="1" x14ac:dyDescent="0.45">
      <c r="A224" s="15" t="s">
        <v>265</v>
      </c>
      <c r="B224" s="16" t="s">
        <v>266</v>
      </c>
      <c r="C224" s="17" t="s">
        <v>14</v>
      </c>
      <c r="D224" s="20" t="s">
        <v>14</v>
      </c>
      <c r="E224" s="20" t="s">
        <v>14</v>
      </c>
      <c r="F224" s="21"/>
      <c r="I224">
        <v>2</v>
      </c>
      <c r="J224">
        <f t="shared" si="3"/>
        <v>2</v>
      </c>
      <c r="K224" t="s">
        <v>14</v>
      </c>
    </row>
    <row r="225" spans="1:11" ht="25.5" customHeight="1" x14ac:dyDescent="0.45">
      <c r="A225" s="15" t="s">
        <v>265</v>
      </c>
      <c r="B225" s="16" t="s">
        <v>267</v>
      </c>
      <c r="C225" s="17" t="s">
        <v>14</v>
      </c>
      <c r="D225" s="18" t="s">
        <v>14</v>
      </c>
      <c r="E225" s="18" t="s">
        <v>14</v>
      </c>
      <c r="F225" s="19"/>
      <c r="J225">
        <f t="shared" si="3"/>
        <v>0</v>
      </c>
    </row>
    <row r="226" spans="1:11" ht="25.5" customHeight="1" x14ac:dyDescent="0.45">
      <c r="A226" s="15" t="s">
        <v>265</v>
      </c>
      <c r="B226" s="16" t="s">
        <v>268</v>
      </c>
      <c r="C226" s="17" t="s">
        <v>14</v>
      </c>
      <c r="D226" s="18" t="s">
        <v>14</v>
      </c>
      <c r="E226" s="18" t="s">
        <v>14</v>
      </c>
      <c r="F226" s="19"/>
      <c r="I226">
        <v>1</v>
      </c>
      <c r="J226">
        <f t="shared" si="3"/>
        <v>1</v>
      </c>
      <c r="K226" t="s">
        <v>13</v>
      </c>
    </row>
    <row r="227" spans="1:11" ht="25.5" customHeight="1" x14ac:dyDescent="0.45">
      <c r="A227" s="15" t="s">
        <v>265</v>
      </c>
      <c r="B227" s="16" t="s">
        <v>269</v>
      </c>
      <c r="C227" s="17" t="s">
        <v>14</v>
      </c>
      <c r="D227" s="18" t="s">
        <v>14</v>
      </c>
      <c r="E227" s="18" t="s">
        <v>13</v>
      </c>
      <c r="F227" s="19"/>
      <c r="J227">
        <f t="shared" si="3"/>
        <v>0</v>
      </c>
    </row>
    <row r="228" spans="1:11" ht="25.5" customHeight="1" x14ac:dyDescent="0.45">
      <c r="A228" s="15" t="s">
        <v>265</v>
      </c>
      <c r="B228" s="16" t="s">
        <v>270</v>
      </c>
      <c r="C228" s="17" t="s">
        <v>13</v>
      </c>
      <c r="D228" s="18" t="s">
        <v>13</v>
      </c>
      <c r="E228" s="18" t="s">
        <v>13</v>
      </c>
      <c r="F228" s="19"/>
      <c r="J228">
        <f t="shared" si="3"/>
        <v>0</v>
      </c>
    </row>
    <row r="229" spans="1:11" ht="25.5" customHeight="1" x14ac:dyDescent="0.45">
      <c r="A229" s="15" t="s">
        <v>265</v>
      </c>
      <c r="B229" s="16" t="s">
        <v>271</v>
      </c>
      <c r="C229" s="17" t="s">
        <v>14</v>
      </c>
      <c r="D229" s="20" t="s">
        <v>14</v>
      </c>
      <c r="E229" s="20" t="s">
        <v>14</v>
      </c>
      <c r="F229" s="21"/>
      <c r="I229">
        <v>3</v>
      </c>
      <c r="J229">
        <f t="shared" si="3"/>
        <v>3</v>
      </c>
      <c r="K229" t="s">
        <v>14</v>
      </c>
    </row>
    <row r="230" spans="1:11" x14ac:dyDescent="0.45">
      <c r="A230" s="15" t="s">
        <v>265</v>
      </c>
      <c r="B230" s="16" t="s">
        <v>272</v>
      </c>
      <c r="C230" s="17" t="s">
        <v>14</v>
      </c>
      <c r="D230" s="20" t="s">
        <v>14</v>
      </c>
      <c r="E230" s="20" t="s">
        <v>14</v>
      </c>
      <c r="F230" s="21"/>
      <c r="I230">
        <v>3</v>
      </c>
      <c r="J230">
        <f t="shared" si="3"/>
        <v>3</v>
      </c>
      <c r="K230" t="s">
        <v>14</v>
      </c>
    </row>
    <row r="231" spans="1:11" ht="25.5" customHeight="1" x14ac:dyDescent="0.45">
      <c r="A231" s="15" t="s">
        <v>265</v>
      </c>
      <c r="B231" s="16" t="s">
        <v>273</v>
      </c>
      <c r="C231" s="17" t="s">
        <v>14</v>
      </c>
      <c r="D231" s="18" t="s">
        <v>14</v>
      </c>
      <c r="E231" s="18" t="s">
        <v>14</v>
      </c>
      <c r="F231" s="19"/>
      <c r="J231">
        <f t="shared" si="3"/>
        <v>0</v>
      </c>
    </row>
    <row r="232" spans="1:11" x14ac:dyDescent="0.45">
      <c r="A232" s="15" t="s">
        <v>265</v>
      </c>
      <c r="B232" s="16" t="s">
        <v>274</v>
      </c>
      <c r="C232" s="17" t="s">
        <v>14</v>
      </c>
      <c r="D232" s="18" t="s">
        <v>14</v>
      </c>
      <c r="E232" s="18" t="s">
        <v>13</v>
      </c>
      <c r="F232" s="19"/>
      <c r="J232">
        <f t="shared" si="3"/>
        <v>0</v>
      </c>
    </row>
    <row r="233" spans="1:11" ht="25.5" customHeight="1" x14ac:dyDescent="0.45">
      <c r="A233" s="15" t="s">
        <v>265</v>
      </c>
      <c r="B233" s="16" t="s">
        <v>275</v>
      </c>
      <c r="C233" s="17" t="s">
        <v>14</v>
      </c>
      <c r="D233" s="18" t="s">
        <v>14</v>
      </c>
      <c r="E233" s="18" t="s">
        <v>13</v>
      </c>
      <c r="F233" s="19"/>
      <c r="J233">
        <f t="shared" si="3"/>
        <v>0</v>
      </c>
    </row>
    <row r="234" spans="1:11" ht="25.5" customHeight="1" x14ac:dyDescent="0.45">
      <c r="A234" s="15" t="s">
        <v>265</v>
      </c>
      <c r="B234" s="16" t="s">
        <v>276</v>
      </c>
      <c r="C234" s="17" t="s">
        <v>14</v>
      </c>
      <c r="D234" s="18" t="s">
        <v>14</v>
      </c>
      <c r="E234" s="18" t="s">
        <v>14</v>
      </c>
      <c r="F234" s="19"/>
      <c r="J234">
        <f t="shared" si="3"/>
        <v>0</v>
      </c>
    </row>
    <row r="235" spans="1:11" ht="25.5" customHeight="1" x14ac:dyDescent="0.45">
      <c r="A235" s="15" t="s">
        <v>265</v>
      </c>
      <c r="B235" s="16" t="s">
        <v>277</v>
      </c>
      <c r="C235" s="17" t="s">
        <v>13</v>
      </c>
      <c r="D235" s="18" t="s">
        <v>13</v>
      </c>
      <c r="E235" s="18" t="s">
        <v>13</v>
      </c>
      <c r="F235" s="19"/>
      <c r="J235">
        <f t="shared" si="3"/>
        <v>0</v>
      </c>
    </row>
    <row r="236" spans="1:11" ht="25.5" customHeight="1" x14ac:dyDescent="0.45">
      <c r="A236" s="15" t="s">
        <v>265</v>
      </c>
      <c r="B236" s="16" t="s">
        <v>278</v>
      </c>
      <c r="C236" s="17" t="s">
        <v>14</v>
      </c>
      <c r="D236" s="18" t="s">
        <v>14</v>
      </c>
      <c r="E236" s="18" t="s">
        <v>14</v>
      </c>
      <c r="F236" s="19"/>
      <c r="I236">
        <v>1</v>
      </c>
      <c r="J236">
        <f t="shared" si="3"/>
        <v>1</v>
      </c>
      <c r="K236" t="s">
        <v>13</v>
      </c>
    </row>
    <row r="237" spans="1:11" ht="25.5" customHeight="1" x14ac:dyDescent="0.45">
      <c r="A237" s="15" t="s">
        <v>279</v>
      </c>
      <c r="B237" s="16" t="s">
        <v>280</v>
      </c>
      <c r="C237" s="17" t="s">
        <v>14</v>
      </c>
      <c r="D237" s="20" t="s">
        <v>14</v>
      </c>
      <c r="E237" s="20" t="s">
        <v>14</v>
      </c>
      <c r="F237" s="21"/>
      <c r="G237">
        <v>3</v>
      </c>
      <c r="J237">
        <f t="shared" si="3"/>
        <v>3</v>
      </c>
      <c r="K237" t="s">
        <v>14</v>
      </c>
    </row>
    <row r="238" spans="1:11" ht="25.5" customHeight="1" x14ac:dyDescent="0.45">
      <c r="A238" s="15" t="s">
        <v>279</v>
      </c>
      <c r="B238" s="16" t="s">
        <v>281</v>
      </c>
      <c r="C238" s="17" t="s">
        <v>14</v>
      </c>
      <c r="D238" s="20" t="s">
        <v>14</v>
      </c>
      <c r="E238" s="20" t="s">
        <v>14</v>
      </c>
      <c r="F238" s="21"/>
      <c r="J238">
        <f t="shared" si="3"/>
        <v>0</v>
      </c>
    </row>
    <row r="239" spans="1:11" ht="25.5" customHeight="1" x14ac:dyDescent="0.45">
      <c r="A239" s="15" t="s">
        <v>279</v>
      </c>
      <c r="B239" s="16" t="s">
        <v>282</v>
      </c>
      <c r="C239" s="17" t="s">
        <v>14</v>
      </c>
      <c r="D239" s="18" t="s">
        <v>14</v>
      </c>
      <c r="E239" s="18" t="s">
        <v>14</v>
      </c>
      <c r="F239" s="19"/>
      <c r="J239">
        <f t="shared" si="3"/>
        <v>0</v>
      </c>
    </row>
    <row r="240" spans="1:11" ht="25.5" customHeight="1" x14ac:dyDescent="0.45">
      <c r="A240" s="15" t="s">
        <v>279</v>
      </c>
      <c r="B240" s="16" t="s">
        <v>283</v>
      </c>
      <c r="C240" s="17" t="s">
        <v>14</v>
      </c>
      <c r="D240" s="18" t="s">
        <v>14</v>
      </c>
      <c r="E240" s="18" t="s">
        <v>14</v>
      </c>
      <c r="F240" s="19"/>
      <c r="J240">
        <f t="shared" si="3"/>
        <v>0</v>
      </c>
    </row>
    <row r="241" spans="1:11" ht="28.5" customHeight="1" x14ac:dyDescent="0.45">
      <c r="A241" s="15" t="s">
        <v>279</v>
      </c>
      <c r="B241" s="16" t="s">
        <v>284</v>
      </c>
      <c r="C241" s="17" t="s">
        <v>14</v>
      </c>
      <c r="D241" s="18" t="s">
        <v>14</v>
      </c>
      <c r="E241" s="18" t="s">
        <v>13</v>
      </c>
      <c r="F241" s="19" t="s">
        <v>285</v>
      </c>
      <c r="J241">
        <f t="shared" si="3"/>
        <v>0</v>
      </c>
    </row>
    <row r="242" spans="1:11" ht="25.5" customHeight="1" x14ac:dyDescent="0.45">
      <c r="A242" s="15" t="s">
        <v>279</v>
      </c>
      <c r="B242" s="16" t="s">
        <v>286</v>
      </c>
      <c r="C242" s="17" t="s">
        <v>13</v>
      </c>
      <c r="D242" s="18" t="s">
        <v>13</v>
      </c>
      <c r="E242" s="18" t="s">
        <v>14</v>
      </c>
      <c r="F242" s="19"/>
      <c r="G242">
        <v>2</v>
      </c>
      <c r="J242">
        <f t="shared" si="3"/>
        <v>2</v>
      </c>
      <c r="K242" t="s">
        <v>14</v>
      </c>
    </row>
    <row r="243" spans="1:11" ht="25.5" customHeight="1" x14ac:dyDescent="0.45">
      <c r="A243" s="15" t="s">
        <v>279</v>
      </c>
      <c r="B243" s="16" t="s">
        <v>287</v>
      </c>
      <c r="C243" s="17" t="s">
        <v>13</v>
      </c>
      <c r="D243" s="18" t="s">
        <v>14</v>
      </c>
      <c r="E243" s="18" t="s">
        <v>14</v>
      </c>
      <c r="F243" s="19"/>
      <c r="J243">
        <f t="shared" si="3"/>
        <v>0</v>
      </c>
    </row>
    <row r="244" spans="1:11" ht="25.5" customHeight="1" x14ac:dyDescent="0.45">
      <c r="A244" s="15" t="s">
        <v>279</v>
      </c>
      <c r="B244" s="16" t="s">
        <v>288</v>
      </c>
      <c r="C244" s="17" t="s">
        <v>14</v>
      </c>
      <c r="D244" s="18" t="s">
        <v>14</v>
      </c>
      <c r="E244" s="18" t="s">
        <v>13</v>
      </c>
      <c r="F244" s="19"/>
      <c r="J244">
        <f t="shared" si="3"/>
        <v>0</v>
      </c>
    </row>
    <row r="245" spans="1:11" x14ac:dyDescent="0.45">
      <c r="A245" s="15" t="s">
        <v>279</v>
      </c>
      <c r="B245" s="16" t="s">
        <v>289</v>
      </c>
      <c r="C245" s="17" t="s">
        <v>13</v>
      </c>
      <c r="D245" s="18" t="s">
        <v>13</v>
      </c>
      <c r="E245" s="18" t="s">
        <v>13</v>
      </c>
      <c r="F245" s="19"/>
      <c r="J245">
        <f t="shared" si="3"/>
        <v>0</v>
      </c>
    </row>
    <row r="246" spans="1:11" ht="25.5" customHeight="1" x14ac:dyDescent="0.45">
      <c r="A246" s="15" t="s">
        <v>279</v>
      </c>
      <c r="B246" s="16" t="s">
        <v>290</v>
      </c>
      <c r="C246" s="17" t="s">
        <v>13</v>
      </c>
      <c r="D246" s="18" t="s">
        <v>14</v>
      </c>
      <c r="E246" s="18" t="s">
        <v>13</v>
      </c>
      <c r="F246" s="19"/>
      <c r="J246">
        <f t="shared" si="3"/>
        <v>0</v>
      </c>
    </row>
    <row r="247" spans="1:11" ht="25.5" customHeight="1" x14ac:dyDescent="0.45">
      <c r="A247" s="15" t="s">
        <v>279</v>
      </c>
      <c r="B247" s="16" t="s">
        <v>291</v>
      </c>
      <c r="C247" s="17" t="s">
        <v>13</v>
      </c>
      <c r="D247" s="18" t="s">
        <v>13</v>
      </c>
      <c r="E247" s="18" t="s">
        <v>14</v>
      </c>
      <c r="F247" s="19"/>
      <c r="J247">
        <f t="shared" si="3"/>
        <v>0</v>
      </c>
    </row>
    <row r="248" spans="1:11" ht="25.5" customHeight="1" x14ac:dyDescent="0.45">
      <c r="A248" s="15" t="s">
        <v>279</v>
      </c>
      <c r="B248" s="16" t="s">
        <v>292</v>
      </c>
      <c r="C248" s="17" t="s">
        <v>13</v>
      </c>
      <c r="D248" s="18" t="s">
        <v>14</v>
      </c>
      <c r="E248" s="18" t="s">
        <v>14</v>
      </c>
      <c r="F248" s="19"/>
      <c r="I248">
        <v>4</v>
      </c>
      <c r="J248">
        <f t="shared" si="3"/>
        <v>4</v>
      </c>
      <c r="K248" t="s">
        <v>14</v>
      </c>
    </row>
    <row r="249" spans="1:11" ht="25.5" customHeight="1" x14ac:dyDescent="0.45">
      <c r="A249" s="15" t="s">
        <v>279</v>
      </c>
      <c r="B249" s="16" t="s">
        <v>293</v>
      </c>
      <c r="C249" s="17" t="s">
        <v>14</v>
      </c>
      <c r="D249" s="18" t="s">
        <v>14</v>
      </c>
      <c r="E249" s="18" t="s">
        <v>14</v>
      </c>
      <c r="F249" s="19"/>
      <c r="J249">
        <f t="shared" si="3"/>
        <v>0</v>
      </c>
    </row>
    <row r="250" spans="1:11" ht="25.5" customHeight="1" x14ac:dyDescent="0.45">
      <c r="A250" s="15" t="s">
        <v>294</v>
      </c>
      <c r="B250" s="16" t="s">
        <v>295</v>
      </c>
      <c r="C250" s="17" t="s">
        <v>14</v>
      </c>
      <c r="D250" s="18" t="s">
        <v>14</v>
      </c>
      <c r="E250" s="18" t="s">
        <v>14</v>
      </c>
      <c r="F250" s="19"/>
      <c r="G250">
        <v>1</v>
      </c>
      <c r="J250">
        <f t="shared" si="3"/>
        <v>1</v>
      </c>
      <c r="K250" t="s">
        <v>13</v>
      </c>
    </row>
    <row r="251" spans="1:11" ht="25.5" customHeight="1" x14ac:dyDescent="0.45">
      <c r="A251" s="15" t="s">
        <v>294</v>
      </c>
      <c r="B251" s="16" t="s">
        <v>296</v>
      </c>
      <c r="C251" s="17" t="s">
        <v>14</v>
      </c>
      <c r="D251" s="18" t="s">
        <v>14</v>
      </c>
      <c r="E251" s="18" t="s">
        <v>14</v>
      </c>
      <c r="F251" s="19"/>
      <c r="J251">
        <f t="shared" si="3"/>
        <v>0</v>
      </c>
    </row>
    <row r="252" spans="1:11" ht="25.5" customHeight="1" x14ac:dyDescent="0.45">
      <c r="A252" s="15" t="s">
        <v>294</v>
      </c>
      <c r="B252" s="16" t="s">
        <v>297</v>
      </c>
      <c r="C252" s="17" t="s">
        <v>14</v>
      </c>
      <c r="D252" s="18" t="s">
        <v>14</v>
      </c>
      <c r="E252" s="18" t="s">
        <v>14</v>
      </c>
      <c r="F252" s="19"/>
      <c r="J252">
        <f t="shared" si="3"/>
        <v>0</v>
      </c>
    </row>
    <row r="253" spans="1:11" ht="25.5" customHeight="1" x14ac:dyDescent="0.45">
      <c r="A253" s="15" t="s">
        <v>294</v>
      </c>
      <c r="B253" s="16" t="s">
        <v>298</v>
      </c>
      <c r="C253" s="17" t="s">
        <v>13</v>
      </c>
      <c r="D253" s="18" t="s">
        <v>14</v>
      </c>
      <c r="E253" s="18" t="s">
        <v>14</v>
      </c>
      <c r="F253" s="19"/>
      <c r="J253">
        <f t="shared" si="3"/>
        <v>0</v>
      </c>
    </row>
    <row r="254" spans="1:11" ht="25.5" customHeight="1" x14ac:dyDescent="0.45">
      <c r="A254" s="15" t="s">
        <v>294</v>
      </c>
      <c r="B254" s="16" t="s">
        <v>299</v>
      </c>
      <c r="C254" s="17" t="s">
        <v>14</v>
      </c>
      <c r="D254" s="18" t="s">
        <v>14</v>
      </c>
      <c r="E254" s="18" t="s">
        <v>14</v>
      </c>
      <c r="F254" s="19"/>
      <c r="J254">
        <f t="shared" si="3"/>
        <v>0</v>
      </c>
    </row>
    <row r="255" spans="1:11" ht="25.5" customHeight="1" x14ac:dyDescent="0.45">
      <c r="A255" s="15" t="s">
        <v>294</v>
      </c>
      <c r="B255" s="16" t="s">
        <v>300</v>
      </c>
      <c r="C255" s="17" t="s">
        <v>14</v>
      </c>
      <c r="D255" s="18" t="s">
        <v>14</v>
      </c>
      <c r="E255" s="18" t="s">
        <v>14</v>
      </c>
      <c r="F255" s="19"/>
      <c r="J255">
        <f t="shared" si="3"/>
        <v>0</v>
      </c>
    </row>
    <row r="256" spans="1:11" ht="25.5" customHeight="1" x14ac:dyDescent="0.45">
      <c r="A256" s="15" t="s">
        <v>294</v>
      </c>
      <c r="B256" s="16" t="s">
        <v>301</v>
      </c>
      <c r="C256" s="17" t="s">
        <v>14</v>
      </c>
      <c r="D256" s="18" t="s">
        <v>14</v>
      </c>
      <c r="E256" s="18" t="s">
        <v>14</v>
      </c>
      <c r="F256" s="19"/>
      <c r="G256">
        <v>1</v>
      </c>
      <c r="J256">
        <f t="shared" si="3"/>
        <v>1</v>
      </c>
      <c r="K256" t="s">
        <v>13</v>
      </c>
    </row>
    <row r="257" spans="1:10" x14ac:dyDescent="0.45">
      <c r="A257" s="15" t="s">
        <v>294</v>
      </c>
      <c r="B257" s="16" t="s">
        <v>302</v>
      </c>
      <c r="C257" s="17" t="s">
        <v>13</v>
      </c>
      <c r="D257" s="18" t="s">
        <v>13</v>
      </c>
      <c r="E257" s="18" t="s">
        <v>13</v>
      </c>
      <c r="F257" s="19"/>
      <c r="J257">
        <f t="shared" si="3"/>
        <v>0</v>
      </c>
    </row>
    <row r="258" spans="1:10" ht="25.5" customHeight="1" x14ac:dyDescent="0.45">
      <c r="A258" s="15" t="s">
        <v>294</v>
      </c>
      <c r="B258" s="16" t="s">
        <v>303</v>
      </c>
      <c r="C258" s="17" t="s">
        <v>13</v>
      </c>
      <c r="D258" s="18" t="s">
        <v>13</v>
      </c>
      <c r="E258" s="18" t="s">
        <v>14</v>
      </c>
      <c r="F258" s="19"/>
      <c r="J258">
        <f t="shared" ref="J258:J263" si="4">SUM(G258:I258)</f>
        <v>0</v>
      </c>
    </row>
    <row r="259" spans="1:10" ht="25.5" customHeight="1" x14ac:dyDescent="0.45">
      <c r="A259" s="15" t="s">
        <v>294</v>
      </c>
      <c r="B259" s="16" t="s">
        <v>304</v>
      </c>
      <c r="C259" s="17" t="s">
        <v>13</v>
      </c>
      <c r="D259" s="18" t="s">
        <v>13</v>
      </c>
      <c r="E259" s="18" t="s">
        <v>13</v>
      </c>
      <c r="F259" s="19"/>
      <c r="J259">
        <f t="shared" si="4"/>
        <v>0</v>
      </c>
    </row>
    <row r="260" spans="1:10" ht="25.5" customHeight="1" x14ac:dyDescent="0.45">
      <c r="A260" s="15" t="s">
        <v>294</v>
      </c>
      <c r="B260" s="16" t="s">
        <v>305</v>
      </c>
      <c r="C260" s="17" t="s">
        <v>14</v>
      </c>
      <c r="D260" s="18" t="s">
        <v>14</v>
      </c>
      <c r="E260" s="18" t="s">
        <v>13</v>
      </c>
      <c r="F260" s="19"/>
      <c r="J260">
        <f t="shared" si="4"/>
        <v>0</v>
      </c>
    </row>
    <row r="261" spans="1:10" ht="99.75" customHeight="1" x14ac:dyDescent="0.45">
      <c r="A261" s="15" t="s">
        <v>306</v>
      </c>
      <c r="B261" s="16" t="s">
        <v>307</v>
      </c>
      <c r="C261" s="17"/>
      <c r="D261" s="18"/>
      <c r="E261" s="18"/>
      <c r="F261" s="19" t="s">
        <v>308</v>
      </c>
      <c r="J261">
        <f t="shared" si="4"/>
        <v>0</v>
      </c>
    </row>
    <row r="262" spans="1:10" ht="25.5" customHeight="1" x14ac:dyDescent="0.45">
      <c r="A262" s="15" t="s">
        <v>306</v>
      </c>
      <c r="B262" s="16" t="s">
        <v>309</v>
      </c>
      <c r="C262" s="17"/>
      <c r="D262" s="18"/>
      <c r="E262" s="18" t="s">
        <v>14</v>
      </c>
      <c r="F262" s="19"/>
      <c r="J262">
        <f t="shared" si="4"/>
        <v>0</v>
      </c>
    </row>
    <row r="263" spans="1:10" ht="25.5" customHeight="1" x14ac:dyDescent="0.45">
      <c r="A263" s="15" t="s">
        <v>306</v>
      </c>
      <c r="B263" s="16" t="s">
        <v>310</v>
      </c>
      <c r="C263" s="17"/>
      <c r="D263" s="18"/>
      <c r="E263" s="18" t="s">
        <v>13</v>
      </c>
      <c r="F263" s="19"/>
      <c r="J263">
        <f t="shared" si="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8"/>
  <sheetViews>
    <sheetView tabSelected="1" workbookViewId="0">
      <pane ySplit="1" topLeftCell="A2" activePane="bottomLeft" state="frozen"/>
      <selection pane="bottomLeft" activeCell="H2" sqref="H2"/>
    </sheetView>
  </sheetViews>
  <sheetFormatPr baseColWidth="10" defaultRowHeight="14.25" x14ac:dyDescent="0.45"/>
  <cols>
    <col min="1" max="1" width="8" customWidth="1"/>
    <col min="2" max="2" width="6" customWidth="1"/>
    <col min="3" max="3" width="24" customWidth="1"/>
    <col min="4" max="4" width="52" customWidth="1"/>
    <col min="5" max="5" width="26" customWidth="1"/>
    <col min="6" max="6" width="40" customWidth="1"/>
    <col min="7" max="8" width="32" customWidth="1"/>
    <col min="9" max="10" width="46" customWidth="1"/>
    <col min="11" max="11" width="95" customWidth="1"/>
    <col min="12" max="12" width="48" customWidth="1"/>
  </cols>
  <sheetData>
    <row r="1" spans="1:12" ht="30" customHeight="1" x14ac:dyDescent="0.45">
      <c r="A1" s="23" t="s">
        <v>328</v>
      </c>
      <c r="B1" s="23" t="s">
        <v>325</v>
      </c>
      <c r="C1" s="23" t="s">
        <v>0</v>
      </c>
      <c r="D1" s="23" t="s">
        <v>329</v>
      </c>
      <c r="E1" s="23" t="s">
        <v>330</v>
      </c>
      <c r="F1" s="23" t="s">
        <v>331</v>
      </c>
      <c r="G1" s="23" t="s">
        <v>332</v>
      </c>
      <c r="H1" s="23" t="s">
        <v>333</v>
      </c>
      <c r="I1" s="23" t="s">
        <v>334</v>
      </c>
      <c r="J1" s="23" t="s">
        <v>335</v>
      </c>
      <c r="K1" s="23" t="s">
        <v>336</v>
      </c>
      <c r="L1" s="23" t="s">
        <v>337</v>
      </c>
    </row>
    <row r="2" spans="1:12" ht="76.5" x14ac:dyDescent="0.45">
      <c r="A2" s="15" t="s">
        <v>338</v>
      </c>
      <c r="B2" s="15">
        <v>1</v>
      </c>
      <c r="C2" s="15" t="s">
        <v>11</v>
      </c>
      <c r="D2" s="15" t="s">
        <v>339</v>
      </c>
      <c r="E2" s="15" t="s">
        <v>340</v>
      </c>
      <c r="F2" s="15" t="s">
        <v>341</v>
      </c>
      <c r="G2" s="15" t="s">
        <v>342</v>
      </c>
      <c r="H2" s="15" t="s">
        <v>343</v>
      </c>
      <c r="I2" s="15" t="s">
        <v>344</v>
      </c>
      <c r="J2" s="15" t="s">
        <v>345</v>
      </c>
      <c r="K2" s="15" t="s">
        <v>346</v>
      </c>
      <c r="L2" s="15" t="s">
        <v>347</v>
      </c>
    </row>
    <row r="3" spans="1:12" ht="63.75" x14ac:dyDescent="0.45">
      <c r="A3" s="15" t="s">
        <v>348</v>
      </c>
      <c r="B3" s="15">
        <v>2</v>
      </c>
      <c r="C3" s="15" t="s">
        <v>11</v>
      </c>
      <c r="D3" s="15" t="s">
        <v>349</v>
      </c>
      <c r="E3" s="15" t="s">
        <v>340</v>
      </c>
      <c r="F3" s="15" t="s">
        <v>350</v>
      </c>
      <c r="G3" s="15" t="s">
        <v>351</v>
      </c>
      <c r="H3" s="15" t="s">
        <v>352</v>
      </c>
      <c r="I3" s="15" t="s">
        <v>353</v>
      </c>
      <c r="J3" s="15" t="s">
        <v>354</v>
      </c>
      <c r="K3" s="15" t="s">
        <v>355</v>
      </c>
      <c r="L3" s="15" t="s">
        <v>356</v>
      </c>
    </row>
    <row r="4" spans="1:12" ht="63.75" x14ac:dyDescent="0.45">
      <c r="A4" s="15" t="s">
        <v>357</v>
      </c>
      <c r="B4" s="15">
        <v>3</v>
      </c>
      <c r="C4" s="15" t="s">
        <v>11</v>
      </c>
      <c r="D4" s="15" t="s">
        <v>358</v>
      </c>
      <c r="E4" s="15" t="s">
        <v>359</v>
      </c>
      <c r="F4" s="15" t="s">
        <v>360</v>
      </c>
      <c r="G4" s="15" t="s">
        <v>361</v>
      </c>
      <c r="H4" s="15" t="s">
        <v>362</v>
      </c>
      <c r="I4" s="15" t="s">
        <v>363</v>
      </c>
      <c r="J4" s="15" t="s">
        <v>364</v>
      </c>
      <c r="K4" s="15" t="s">
        <v>365</v>
      </c>
      <c r="L4" s="15" t="s">
        <v>366</v>
      </c>
    </row>
    <row r="5" spans="1:12" ht="63.75" x14ac:dyDescent="0.45">
      <c r="A5" s="15" t="s">
        <v>367</v>
      </c>
      <c r="B5" s="15">
        <v>4</v>
      </c>
      <c r="C5" s="15" t="s">
        <v>81</v>
      </c>
      <c r="D5" s="15" t="s">
        <v>368</v>
      </c>
      <c r="E5" s="15" t="s">
        <v>340</v>
      </c>
      <c r="F5" s="15" t="s">
        <v>369</v>
      </c>
      <c r="G5" s="15" t="s">
        <v>370</v>
      </c>
      <c r="H5" s="15" t="s">
        <v>371</v>
      </c>
      <c r="I5" s="15" t="s">
        <v>372</v>
      </c>
      <c r="J5" s="15" t="s">
        <v>373</v>
      </c>
      <c r="K5" s="15" t="s">
        <v>374</v>
      </c>
      <c r="L5" s="15" t="s">
        <v>375</v>
      </c>
    </row>
    <row r="6" spans="1:12" ht="63.75" x14ac:dyDescent="0.45">
      <c r="A6" s="15" t="s">
        <v>376</v>
      </c>
      <c r="B6" s="15">
        <v>5</v>
      </c>
      <c r="C6" s="15" t="s">
        <v>102</v>
      </c>
      <c r="D6" s="15" t="s">
        <v>377</v>
      </c>
      <c r="E6" s="15" t="s">
        <v>378</v>
      </c>
      <c r="F6" s="15" t="s">
        <v>379</v>
      </c>
      <c r="G6" s="15" t="s">
        <v>380</v>
      </c>
      <c r="H6" s="15" t="s">
        <v>381</v>
      </c>
      <c r="I6" s="15" t="s">
        <v>382</v>
      </c>
      <c r="J6" s="15" t="s">
        <v>383</v>
      </c>
      <c r="K6" s="15" t="s">
        <v>384</v>
      </c>
      <c r="L6" s="15" t="s">
        <v>385</v>
      </c>
    </row>
    <row r="7" spans="1:12" ht="63.75" x14ac:dyDescent="0.45">
      <c r="A7" s="15" t="s">
        <v>386</v>
      </c>
      <c r="B7" s="15">
        <v>6</v>
      </c>
      <c r="C7" s="15" t="s">
        <v>179</v>
      </c>
      <c r="D7" s="15" t="s">
        <v>387</v>
      </c>
      <c r="E7" s="15" t="s">
        <v>388</v>
      </c>
      <c r="F7" s="15" t="s">
        <v>389</v>
      </c>
      <c r="G7" s="15" t="s">
        <v>390</v>
      </c>
      <c r="H7" s="15" t="s">
        <v>391</v>
      </c>
      <c r="I7" s="15" t="s">
        <v>392</v>
      </c>
      <c r="J7" s="15" t="s">
        <v>393</v>
      </c>
      <c r="K7" s="15" t="s">
        <v>394</v>
      </c>
      <c r="L7" s="15" t="s">
        <v>395</v>
      </c>
    </row>
    <row r="8" spans="1:12" ht="89.25" x14ac:dyDescent="0.45">
      <c r="A8" s="15" t="s">
        <v>396</v>
      </c>
      <c r="B8" s="15">
        <v>7</v>
      </c>
      <c r="C8" s="15" t="s">
        <v>11</v>
      </c>
      <c r="D8" s="15" t="s">
        <v>397</v>
      </c>
      <c r="E8" s="15" t="s">
        <v>398</v>
      </c>
      <c r="F8" s="15" t="s">
        <v>399</v>
      </c>
      <c r="G8" s="15" t="s">
        <v>400</v>
      </c>
      <c r="H8" s="15" t="s">
        <v>401</v>
      </c>
      <c r="I8" s="15" t="s">
        <v>402</v>
      </c>
      <c r="J8" s="15" t="s">
        <v>403</v>
      </c>
      <c r="K8" s="15" t="s">
        <v>404</v>
      </c>
      <c r="L8" s="15" t="s">
        <v>405</v>
      </c>
    </row>
    <row r="9" spans="1:12" ht="51" x14ac:dyDescent="0.45">
      <c r="A9" s="15" t="s">
        <v>406</v>
      </c>
      <c r="B9" s="15">
        <v>8</v>
      </c>
      <c r="C9" s="15" t="s">
        <v>11</v>
      </c>
      <c r="D9" s="15" t="s">
        <v>407</v>
      </c>
      <c r="E9" s="15" t="s">
        <v>340</v>
      </c>
      <c r="F9" s="15" t="s">
        <v>408</v>
      </c>
      <c r="G9" s="15" t="s">
        <v>409</v>
      </c>
      <c r="H9" s="15" t="s">
        <v>352</v>
      </c>
      <c r="I9" s="15" t="s">
        <v>410</v>
      </c>
      <c r="J9" s="15" t="s">
        <v>411</v>
      </c>
      <c r="K9" s="15" t="s">
        <v>412</v>
      </c>
      <c r="L9" s="15" t="s">
        <v>413</v>
      </c>
    </row>
    <row r="10" spans="1:12" ht="63.75" x14ac:dyDescent="0.45">
      <c r="A10" s="15" t="s">
        <v>414</v>
      </c>
      <c r="B10" s="15">
        <v>9</v>
      </c>
      <c r="C10" s="15" t="s">
        <v>11</v>
      </c>
      <c r="D10" s="15" t="s">
        <v>415</v>
      </c>
      <c r="E10" s="15" t="s">
        <v>416</v>
      </c>
      <c r="F10" s="15" t="s">
        <v>417</v>
      </c>
      <c r="G10" s="15" t="s">
        <v>418</v>
      </c>
      <c r="H10" s="15" t="s">
        <v>419</v>
      </c>
      <c r="I10" s="15" t="s">
        <v>420</v>
      </c>
      <c r="J10" s="15" t="s">
        <v>421</v>
      </c>
      <c r="K10" s="15" t="s">
        <v>422</v>
      </c>
      <c r="L10" s="15" t="s">
        <v>423</v>
      </c>
    </row>
    <row r="11" spans="1:12" ht="63.75" x14ac:dyDescent="0.45">
      <c r="A11" s="15" t="s">
        <v>424</v>
      </c>
      <c r="B11" s="15">
        <v>10</v>
      </c>
      <c r="C11" s="15" t="s">
        <v>11</v>
      </c>
      <c r="D11" s="15" t="s">
        <v>425</v>
      </c>
      <c r="E11" s="15" t="s">
        <v>426</v>
      </c>
      <c r="F11" s="15" t="s">
        <v>427</v>
      </c>
      <c r="G11" s="15" t="s">
        <v>428</v>
      </c>
      <c r="H11" s="15" t="s">
        <v>429</v>
      </c>
      <c r="I11" s="15" t="s">
        <v>430</v>
      </c>
      <c r="J11" s="15" t="s">
        <v>431</v>
      </c>
      <c r="K11" s="15" t="s">
        <v>432</v>
      </c>
      <c r="L11" s="15" t="s">
        <v>433</v>
      </c>
    </row>
    <row r="12" spans="1:12" ht="51" x14ac:dyDescent="0.45">
      <c r="A12" s="15" t="s">
        <v>434</v>
      </c>
      <c r="B12" s="15">
        <v>11</v>
      </c>
      <c r="C12" s="15" t="s">
        <v>11</v>
      </c>
      <c r="D12" s="15" t="s">
        <v>435</v>
      </c>
      <c r="E12" s="15" t="s">
        <v>436</v>
      </c>
      <c r="F12" s="15" t="s">
        <v>437</v>
      </c>
      <c r="G12" s="15" t="s">
        <v>438</v>
      </c>
      <c r="H12" s="15" t="s">
        <v>439</v>
      </c>
      <c r="I12" s="15" t="s">
        <v>440</v>
      </c>
      <c r="J12" s="15" t="s">
        <v>441</v>
      </c>
      <c r="K12" s="15" t="s">
        <v>442</v>
      </c>
      <c r="L12" s="15" t="s">
        <v>443</v>
      </c>
    </row>
    <row r="13" spans="1:12" ht="51" x14ac:dyDescent="0.45">
      <c r="A13" s="15" t="s">
        <v>444</v>
      </c>
      <c r="B13" s="15">
        <v>12</v>
      </c>
      <c r="C13" s="15" t="s">
        <v>128</v>
      </c>
      <c r="D13" s="15" t="s">
        <v>445</v>
      </c>
      <c r="E13" s="15" t="s">
        <v>416</v>
      </c>
      <c r="F13" s="15" t="s">
        <v>446</v>
      </c>
      <c r="G13" s="15" t="s">
        <v>447</v>
      </c>
      <c r="H13" s="15" t="s">
        <v>448</v>
      </c>
      <c r="I13" s="15" t="s">
        <v>449</v>
      </c>
      <c r="J13" s="15" t="s">
        <v>450</v>
      </c>
      <c r="K13" s="15" t="s">
        <v>451</v>
      </c>
      <c r="L13" s="15" t="s">
        <v>452</v>
      </c>
    </row>
    <row r="14" spans="1:12" ht="51" x14ac:dyDescent="0.45">
      <c r="A14" s="15" t="s">
        <v>453</v>
      </c>
      <c r="B14" s="15">
        <v>13</v>
      </c>
      <c r="C14" s="15" t="s">
        <v>179</v>
      </c>
      <c r="D14" s="15" t="s">
        <v>454</v>
      </c>
      <c r="E14" s="15" t="s">
        <v>455</v>
      </c>
      <c r="F14" s="15" t="s">
        <v>456</v>
      </c>
      <c r="G14" s="15" t="s">
        <v>457</v>
      </c>
      <c r="H14" s="15" t="s">
        <v>458</v>
      </c>
      <c r="I14" s="15" t="s">
        <v>459</v>
      </c>
      <c r="J14" s="15" t="s">
        <v>460</v>
      </c>
      <c r="K14" s="15" t="s">
        <v>461</v>
      </c>
      <c r="L14" s="15" t="s">
        <v>462</v>
      </c>
    </row>
    <row r="15" spans="1:12" ht="63.75" x14ac:dyDescent="0.45">
      <c r="A15" s="15" t="s">
        <v>463</v>
      </c>
      <c r="B15" s="15">
        <v>14</v>
      </c>
      <c r="C15" s="15" t="s">
        <v>179</v>
      </c>
      <c r="D15" s="15" t="s">
        <v>464</v>
      </c>
      <c r="E15" s="15" t="s">
        <v>455</v>
      </c>
      <c r="F15" s="15" t="s">
        <v>465</v>
      </c>
      <c r="G15" s="15" t="s">
        <v>466</v>
      </c>
      <c r="H15" s="15" t="s">
        <v>467</v>
      </c>
      <c r="I15" s="15" t="s">
        <v>468</v>
      </c>
      <c r="J15" s="15" t="s">
        <v>469</v>
      </c>
      <c r="K15" s="15" t="s">
        <v>470</v>
      </c>
      <c r="L15" s="15" t="s">
        <v>471</v>
      </c>
    </row>
    <row r="16" spans="1:12" ht="63.75" x14ac:dyDescent="0.45">
      <c r="A16" s="15" t="s">
        <v>472</v>
      </c>
      <c r="B16" s="15">
        <v>15</v>
      </c>
      <c r="C16" s="15" t="s">
        <v>197</v>
      </c>
      <c r="D16" s="15" t="s">
        <v>473</v>
      </c>
      <c r="E16" s="15" t="s">
        <v>340</v>
      </c>
      <c r="F16" s="15" t="s">
        <v>474</v>
      </c>
      <c r="G16" s="15" t="s">
        <v>475</v>
      </c>
      <c r="H16" s="15" t="s">
        <v>476</v>
      </c>
      <c r="I16" s="15" t="s">
        <v>477</v>
      </c>
      <c r="J16" s="15" t="s">
        <v>478</v>
      </c>
      <c r="K16" s="15" t="s">
        <v>479</v>
      </c>
      <c r="L16" s="15" t="s">
        <v>480</v>
      </c>
    </row>
    <row r="17" spans="1:12" ht="63.75" x14ac:dyDescent="0.45">
      <c r="A17" s="15" t="s">
        <v>481</v>
      </c>
      <c r="B17" s="15">
        <v>16</v>
      </c>
      <c r="C17" s="15" t="s">
        <v>279</v>
      </c>
      <c r="D17" s="15" t="s">
        <v>482</v>
      </c>
      <c r="E17" s="15" t="s">
        <v>483</v>
      </c>
      <c r="F17" s="15" t="s">
        <v>484</v>
      </c>
      <c r="G17" s="15" t="s">
        <v>485</v>
      </c>
      <c r="H17" s="15" t="s">
        <v>486</v>
      </c>
      <c r="I17" s="15" t="s">
        <v>487</v>
      </c>
      <c r="J17" s="15" t="s">
        <v>488</v>
      </c>
      <c r="K17" s="15" t="s">
        <v>489</v>
      </c>
      <c r="L17" s="15" t="s">
        <v>490</v>
      </c>
    </row>
    <row r="18" spans="1:12" ht="63.75" x14ac:dyDescent="0.45">
      <c r="A18" s="15" t="s">
        <v>491</v>
      </c>
      <c r="B18" s="15">
        <v>17</v>
      </c>
      <c r="C18" s="15" t="s">
        <v>11</v>
      </c>
      <c r="D18" s="15" t="s">
        <v>492</v>
      </c>
      <c r="E18" s="15" t="s">
        <v>493</v>
      </c>
      <c r="F18" s="15" t="s">
        <v>494</v>
      </c>
      <c r="G18" s="15" t="s">
        <v>495</v>
      </c>
      <c r="H18" s="15" t="s">
        <v>496</v>
      </c>
      <c r="I18" s="15" t="s">
        <v>497</v>
      </c>
      <c r="J18" s="15" t="s">
        <v>498</v>
      </c>
      <c r="K18" s="15" t="s">
        <v>499</v>
      </c>
      <c r="L18" s="15" t="s">
        <v>500</v>
      </c>
    </row>
    <row r="19" spans="1:12" ht="51" x14ac:dyDescent="0.45">
      <c r="A19" s="15" t="s">
        <v>501</v>
      </c>
      <c r="B19" s="15">
        <v>18</v>
      </c>
      <c r="C19" s="15" t="s">
        <v>11</v>
      </c>
      <c r="D19" s="15" t="s">
        <v>502</v>
      </c>
      <c r="E19" s="15" t="s">
        <v>503</v>
      </c>
      <c r="F19" s="15" t="s">
        <v>504</v>
      </c>
      <c r="G19" s="15" t="s">
        <v>505</v>
      </c>
      <c r="H19" s="15" t="s">
        <v>352</v>
      </c>
      <c r="I19" s="15" t="s">
        <v>506</v>
      </c>
      <c r="J19" s="15" t="s">
        <v>507</v>
      </c>
      <c r="K19" s="15" t="s">
        <v>508</v>
      </c>
      <c r="L19" s="15" t="s">
        <v>509</v>
      </c>
    </row>
    <row r="20" spans="1:12" ht="51" x14ac:dyDescent="0.45">
      <c r="A20" s="15" t="s">
        <v>510</v>
      </c>
      <c r="B20" s="15">
        <v>19</v>
      </c>
      <c r="C20" s="15" t="s">
        <v>11</v>
      </c>
      <c r="D20" s="15" t="s">
        <v>511</v>
      </c>
      <c r="E20" s="15" t="s">
        <v>512</v>
      </c>
      <c r="F20" s="15" t="s">
        <v>513</v>
      </c>
      <c r="G20" s="15" t="s">
        <v>514</v>
      </c>
      <c r="H20" s="15" t="s">
        <v>515</v>
      </c>
      <c r="I20" s="15" t="s">
        <v>516</v>
      </c>
      <c r="J20" s="15" t="s">
        <v>517</v>
      </c>
      <c r="K20" s="15" t="s">
        <v>518</v>
      </c>
      <c r="L20" s="15" t="s">
        <v>519</v>
      </c>
    </row>
    <row r="21" spans="1:12" ht="63.75" x14ac:dyDescent="0.45">
      <c r="A21" s="15" t="s">
        <v>520</v>
      </c>
      <c r="B21" s="15">
        <v>20</v>
      </c>
      <c r="C21" s="15" t="s">
        <v>81</v>
      </c>
      <c r="D21" s="15" t="s">
        <v>521</v>
      </c>
      <c r="E21" s="15" t="s">
        <v>522</v>
      </c>
      <c r="F21" s="15" t="s">
        <v>523</v>
      </c>
      <c r="G21" s="15" t="s">
        <v>524</v>
      </c>
      <c r="H21" s="15" t="s">
        <v>525</v>
      </c>
      <c r="I21" s="15" t="s">
        <v>526</v>
      </c>
      <c r="J21" s="15" t="s">
        <v>527</v>
      </c>
      <c r="K21" s="15" t="s">
        <v>528</v>
      </c>
      <c r="L21" s="15" t="s">
        <v>529</v>
      </c>
    </row>
    <row r="22" spans="1:12" ht="63.75" x14ac:dyDescent="0.45">
      <c r="A22" s="15" t="s">
        <v>530</v>
      </c>
      <c r="B22" s="15">
        <v>21</v>
      </c>
      <c r="C22" s="15" t="s">
        <v>162</v>
      </c>
      <c r="D22" s="15" t="s">
        <v>531</v>
      </c>
      <c r="E22" s="15" t="s">
        <v>532</v>
      </c>
      <c r="F22" s="15" t="s">
        <v>533</v>
      </c>
      <c r="G22" s="15" t="s">
        <v>534</v>
      </c>
      <c r="H22" s="15" t="s">
        <v>535</v>
      </c>
      <c r="I22" s="15" t="s">
        <v>536</v>
      </c>
      <c r="J22" s="15" t="s">
        <v>537</v>
      </c>
      <c r="K22" s="15" t="s">
        <v>538</v>
      </c>
      <c r="L22" s="15" t="s">
        <v>539</v>
      </c>
    </row>
    <row r="23" spans="1:12" ht="63.75" x14ac:dyDescent="0.45">
      <c r="A23" s="15" t="s">
        <v>540</v>
      </c>
      <c r="B23" s="15">
        <v>22</v>
      </c>
      <c r="C23" s="15" t="s">
        <v>179</v>
      </c>
      <c r="D23" s="15" t="s">
        <v>541</v>
      </c>
      <c r="E23" s="15" t="s">
        <v>455</v>
      </c>
      <c r="F23" s="15" t="s">
        <v>542</v>
      </c>
      <c r="G23" s="15" t="s">
        <v>543</v>
      </c>
      <c r="H23" s="15" t="s">
        <v>544</v>
      </c>
      <c r="I23" s="15" t="s">
        <v>545</v>
      </c>
      <c r="J23" s="15" t="s">
        <v>546</v>
      </c>
      <c r="K23" s="15" t="s">
        <v>547</v>
      </c>
      <c r="L23" s="15" t="s">
        <v>548</v>
      </c>
    </row>
    <row r="24" spans="1:12" ht="63.75" x14ac:dyDescent="0.45">
      <c r="A24" s="15" t="s">
        <v>549</v>
      </c>
      <c r="B24" s="15">
        <v>23</v>
      </c>
      <c r="C24" s="15" t="s">
        <v>179</v>
      </c>
      <c r="D24" s="15" t="s">
        <v>550</v>
      </c>
      <c r="E24" s="15" t="s">
        <v>551</v>
      </c>
      <c r="F24" s="15" t="s">
        <v>552</v>
      </c>
      <c r="G24" s="15" t="s">
        <v>553</v>
      </c>
      <c r="H24" s="15" t="s">
        <v>554</v>
      </c>
      <c r="I24" s="15" t="s">
        <v>555</v>
      </c>
      <c r="J24" s="15" t="s">
        <v>556</v>
      </c>
      <c r="K24" s="15" t="s">
        <v>557</v>
      </c>
      <c r="L24" s="15" t="s">
        <v>558</v>
      </c>
    </row>
    <row r="25" spans="1:12" ht="63.75" x14ac:dyDescent="0.45">
      <c r="A25" s="15" t="s">
        <v>559</v>
      </c>
      <c r="B25" s="15">
        <v>24</v>
      </c>
      <c r="C25" s="15" t="s">
        <v>179</v>
      </c>
      <c r="D25" s="15" t="s">
        <v>560</v>
      </c>
      <c r="E25" s="15" t="s">
        <v>398</v>
      </c>
      <c r="F25" s="15" t="s">
        <v>561</v>
      </c>
      <c r="G25" s="15" t="s">
        <v>562</v>
      </c>
      <c r="H25" s="15" t="s">
        <v>563</v>
      </c>
      <c r="I25" s="15" t="s">
        <v>564</v>
      </c>
      <c r="J25" s="15" t="s">
        <v>565</v>
      </c>
      <c r="K25" s="15" t="s">
        <v>566</v>
      </c>
      <c r="L25" s="15" t="s">
        <v>567</v>
      </c>
    </row>
    <row r="26" spans="1:12" ht="63.75" x14ac:dyDescent="0.45">
      <c r="A26" s="15" t="s">
        <v>568</v>
      </c>
      <c r="B26" s="15">
        <v>25</v>
      </c>
      <c r="C26" s="15" t="s">
        <v>179</v>
      </c>
      <c r="D26" s="15" t="s">
        <v>569</v>
      </c>
      <c r="E26" s="15" t="s">
        <v>570</v>
      </c>
      <c r="F26" s="15" t="s">
        <v>571</v>
      </c>
      <c r="G26" s="15" t="s">
        <v>572</v>
      </c>
      <c r="H26" s="15" t="s">
        <v>573</v>
      </c>
      <c r="I26" s="15" t="s">
        <v>574</v>
      </c>
      <c r="J26" s="15" t="s">
        <v>575</v>
      </c>
      <c r="K26" s="15" t="s">
        <v>576</v>
      </c>
      <c r="L26" s="15" t="s">
        <v>577</v>
      </c>
    </row>
    <row r="27" spans="1:12" ht="63.75" x14ac:dyDescent="0.45">
      <c r="A27" s="15" t="s">
        <v>578</v>
      </c>
      <c r="B27" s="15">
        <v>26</v>
      </c>
      <c r="C27" s="15" t="s">
        <v>197</v>
      </c>
      <c r="D27" s="15" t="s">
        <v>579</v>
      </c>
      <c r="E27" s="15" t="s">
        <v>340</v>
      </c>
      <c r="F27" s="15" t="s">
        <v>580</v>
      </c>
      <c r="G27" s="15" t="s">
        <v>581</v>
      </c>
      <c r="H27" s="15" t="s">
        <v>582</v>
      </c>
      <c r="I27" s="15" t="s">
        <v>583</v>
      </c>
      <c r="J27" s="15" t="s">
        <v>584</v>
      </c>
      <c r="K27" s="15" t="s">
        <v>585</v>
      </c>
      <c r="L27" s="15" t="s">
        <v>586</v>
      </c>
    </row>
    <row r="28" spans="1:12" ht="51" x14ac:dyDescent="0.45">
      <c r="A28" s="15" t="s">
        <v>587</v>
      </c>
      <c r="B28" s="15">
        <v>27</v>
      </c>
      <c r="C28" s="15" t="s">
        <v>197</v>
      </c>
      <c r="D28" s="15" t="s">
        <v>588</v>
      </c>
      <c r="E28" s="15" t="s">
        <v>340</v>
      </c>
      <c r="F28" s="15" t="s">
        <v>589</v>
      </c>
      <c r="G28" s="15" t="s">
        <v>590</v>
      </c>
      <c r="H28" s="15" t="s">
        <v>591</v>
      </c>
      <c r="I28" s="15" t="s">
        <v>592</v>
      </c>
      <c r="J28" s="15" t="s">
        <v>593</v>
      </c>
      <c r="K28" s="15" t="s">
        <v>594</v>
      </c>
      <c r="L28" s="15" t="s">
        <v>595</v>
      </c>
    </row>
    <row r="29" spans="1:12" ht="63.75" x14ac:dyDescent="0.45">
      <c r="A29" s="15" t="s">
        <v>596</v>
      </c>
      <c r="B29" s="15">
        <v>28</v>
      </c>
      <c r="C29" s="15" t="s">
        <v>217</v>
      </c>
      <c r="D29" s="15" t="s">
        <v>597</v>
      </c>
      <c r="E29" s="15" t="s">
        <v>598</v>
      </c>
      <c r="F29" s="15" t="s">
        <v>599</v>
      </c>
      <c r="G29" s="15" t="s">
        <v>600</v>
      </c>
      <c r="H29" s="15" t="s">
        <v>601</v>
      </c>
      <c r="I29" s="15" t="s">
        <v>602</v>
      </c>
      <c r="J29" s="15" t="s">
        <v>603</v>
      </c>
      <c r="K29" s="15" t="s">
        <v>604</v>
      </c>
      <c r="L29" s="15" t="s">
        <v>605</v>
      </c>
    </row>
    <row r="30" spans="1:12" ht="76.5" x14ac:dyDescent="0.45">
      <c r="A30" s="15" t="s">
        <v>606</v>
      </c>
      <c r="B30" s="15">
        <v>29</v>
      </c>
      <c r="C30" s="15" t="s">
        <v>237</v>
      </c>
      <c r="D30" s="15" t="s">
        <v>607</v>
      </c>
      <c r="E30" s="15" t="s">
        <v>608</v>
      </c>
      <c r="F30" s="15" t="s">
        <v>609</v>
      </c>
      <c r="G30" s="15" t="s">
        <v>610</v>
      </c>
      <c r="H30" s="15" t="s">
        <v>611</v>
      </c>
      <c r="I30" s="15" t="s">
        <v>612</v>
      </c>
      <c r="J30" s="15" t="s">
        <v>613</v>
      </c>
      <c r="K30" s="15" t="s">
        <v>614</v>
      </c>
      <c r="L30" s="15" t="s">
        <v>615</v>
      </c>
    </row>
    <row r="31" spans="1:12" ht="63.75" x14ac:dyDescent="0.45">
      <c r="A31" s="15" t="s">
        <v>616</v>
      </c>
      <c r="B31" s="15">
        <v>30</v>
      </c>
      <c r="C31" s="15" t="s">
        <v>265</v>
      </c>
      <c r="D31" s="15" t="s">
        <v>617</v>
      </c>
      <c r="E31" s="15" t="s">
        <v>570</v>
      </c>
      <c r="F31" s="15" t="s">
        <v>618</v>
      </c>
      <c r="G31" s="15" t="s">
        <v>619</v>
      </c>
      <c r="H31" s="15" t="s">
        <v>620</v>
      </c>
      <c r="I31" s="15" t="s">
        <v>621</v>
      </c>
      <c r="J31" s="15" t="s">
        <v>622</v>
      </c>
      <c r="K31" s="15" t="s">
        <v>623</v>
      </c>
      <c r="L31" s="15" t="s">
        <v>624</v>
      </c>
    </row>
    <row r="32" spans="1:12" ht="63.75" x14ac:dyDescent="0.45">
      <c r="A32" s="15" t="s">
        <v>625</v>
      </c>
      <c r="B32" s="15">
        <v>31</v>
      </c>
      <c r="C32" s="15" t="s">
        <v>265</v>
      </c>
      <c r="D32" s="15" t="s">
        <v>626</v>
      </c>
      <c r="E32" s="15" t="s">
        <v>627</v>
      </c>
      <c r="F32" s="15" t="s">
        <v>628</v>
      </c>
      <c r="G32" s="15" t="s">
        <v>629</v>
      </c>
      <c r="H32" s="15" t="s">
        <v>630</v>
      </c>
      <c r="I32" s="15" t="s">
        <v>631</v>
      </c>
      <c r="J32" s="15" t="s">
        <v>632</v>
      </c>
      <c r="K32" s="15" t="s">
        <v>633</v>
      </c>
      <c r="L32" s="15" t="s">
        <v>634</v>
      </c>
    </row>
    <row r="33" spans="1:12" ht="63.75" x14ac:dyDescent="0.45">
      <c r="A33" s="15" t="s">
        <v>635</v>
      </c>
      <c r="B33" s="15">
        <v>32</v>
      </c>
      <c r="C33" s="15" t="s">
        <v>279</v>
      </c>
      <c r="D33" s="15" t="s">
        <v>636</v>
      </c>
      <c r="E33" s="15" t="s">
        <v>340</v>
      </c>
      <c r="F33" s="15" t="s">
        <v>637</v>
      </c>
      <c r="G33" s="15" t="s">
        <v>503</v>
      </c>
      <c r="H33" s="15" t="s">
        <v>638</v>
      </c>
      <c r="I33" s="15" t="s">
        <v>639</v>
      </c>
      <c r="J33" s="15" t="s">
        <v>640</v>
      </c>
      <c r="K33" s="15" t="s">
        <v>641</v>
      </c>
      <c r="L33" s="15" t="s">
        <v>642</v>
      </c>
    </row>
    <row r="34" spans="1:12" ht="63.75" x14ac:dyDescent="0.45">
      <c r="A34" s="15" t="s">
        <v>643</v>
      </c>
      <c r="B34" s="15">
        <v>33</v>
      </c>
      <c r="C34" s="15" t="s">
        <v>11</v>
      </c>
      <c r="D34" s="15" t="s">
        <v>644</v>
      </c>
      <c r="E34" s="15" t="s">
        <v>416</v>
      </c>
      <c r="F34" s="15" t="s">
        <v>645</v>
      </c>
      <c r="G34" s="15" t="s">
        <v>646</v>
      </c>
      <c r="H34" s="15" t="s">
        <v>647</v>
      </c>
      <c r="I34" s="15" t="s">
        <v>648</v>
      </c>
      <c r="J34" s="15" t="s">
        <v>649</v>
      </c>
      <c r="K34" s="15" t="s">
        <v>650</v>
      </c>
      <c r="L34" s="15" t="s">
        <v>651</v>
      </c>
    </row>
    <row r="35" spans="1:12" ht="63.75" x14ac:dyDescent="0.45">
      <c r="A35" s="15" t="s">
        <v>652</v>
      </c>
      <c r="B35" s="15">
        <v>34</v>
      </c>
      <c r="C35" s="15" t="s">
        <v>11</v>
      </c>
      <c r="D35" s="15" t="s">
        <v>653</v>
      </c>
      <c r="E35" s="15" t="s">
        <v>654</v>
      </c>
      <c r="F35" s="15" t="s">
        <v>655</v>
      </c>
      <c r="G35" s="15" t="s">
        <v>656</v>
      </c>
      <c r="H35" s="15" t="s">
        <v>657</v>
      </c>
      <c r="I35" s="15" t="s">
        <v>658</v>
      </c>
      <c r="J35" s="15" t="s">
        <v>659</v>
      </c>
      <c r="K35" s="15" t="s">
        <v>660</v>
      </c>
      <c r="L35" s="15" t="s">
        <v>661</v>
      </c>
    </row>
    <row r="36" spans="1:12" ht="51" x14ac:dyDescent="0.45">
      <c r="A36" s="15" t="s">
        <v>662</v>
      </c>
      <c r="B36" s="15">
        <v>35</v>
      </c>
      <c r="C36" s="15" t="s">
        <v>11</v>
      </c>
      <c r="D36" s="15" t="s">
        <v>663</v>
      </c>
      <c r="E36" s="15" t="s">
        <v>664</v>
      </c>
      <c r="F36" s="15" t="s">
        <v>665</v>
      </c>
      <c r="G36" s="15" t="s">
        <v>666</v>
      </c>
      <c r="H36" s="15" t="s">
        <v>667</v>
      </c>
      <c r="I36" s="15" t="s">
        <v>668</v>
      </c>
      <c r="J36" s="15" t="s">
        <v>669</v>
      </c>
      <c r="K36" s="15" t="s">
        <v>670</v>
      </c>
      <c r="L36" s="15" t="s">
        <v>671</v>
      </c>
    </row>
    <row r="37" spans="1:12" ht="51" x14ac:dyDescent="0.45">
      <c r="A37" s="15" t="s">
        <v>672</v>
      </c>
      <c r="B37" s="15">
        <v>36</v>
      </c>
      <c r="C37" s="15" t="s">
        <v>102</v>
      </c>
      <c r="D37" s="15" t="s">
        <v>673</v>
      </c>
      <c r="E37" s="15" t="s">
        <v>340</v>
      </c>
      <c r="F37" s="15" t="s">
        <v>674</v>
      </c>
      <c r="G37" s="15" t="s">
        <v>675</v>
      </c>
      <c r="H37" s="15" t="s">
        <v>676</v>
      </c>
      <c r="I37" s="15" t="s">
        <v>677</v>
      </c>
      <c r="J37" s="15" t="s">
        <v>678</v>
      </c>
      <c r="K37" s="15" t="s">
        <v>679</v>
      </c>
      <c r="L37" s="15" t="s">
        <v>680</v>
      </c>
    </row>
    <row r="38" spans="1:12" ht="51" x14ac:dyDescent="0.45">
      <c r="A38" s="15" t="s">
        <v>681</v>
      </c>
      <c r="B38" s="15">
        <v>37</v>
      </c>
      <c r="C38" s="15" t="s">
        <v>102</v>
      </c>
      <c r="D38" s="15" t="s">
        <v>682</v>
      </c>
      <c r="E38" s="15" t="s">
        <v>340</v>
      </c>
      <c r="F38" s="15" t="s">
        <v>683</v>
      </c>
      <c r="G38" s="15" t="s">
        <v>684</v>
      </c>
      <c r="H38" s="15" t="s">
        <v>352</v>
      </c>
      <c r="I38" s="15" t="s">
        <v>685</v>
      </c>
      <c r="J38" s="15" t="s">
        <v>686</v>
      </c>
      <c r="K38" s="15" t="s">
        <v>687</v>
      </c>
      <c r="L38" s="15" t="s">
        <v>688</v>
      </c>
    </row>
    <row r="39" spans="1:12" ht="63.75" x14ac:dyDescent="0.45">
      <c r="A39" s="15" t="s">
        <v>689</v>
      </c>
      <c r="B39" s="15">
        <v>38</v>
      </c>
      <c r="C39" s="15" t="s">
        <v>102</v>
      </c>
      <c r="D39" s="15" t="s">
        <v>690</v>
      </c>
      <c r="E39" s="15" t="s">
        <v>691</v>
      </c>
      <c r="F39" s="15" t="s">
        <v>692</v>
      </c>
      <c r="G39" s="15" t="s">
        <v>693</v>
      </c>
      <c r="H39" s="15" t="s">
        <v>694</v>
      </c>
      <c r="I39" s="15" t="s">
        <v>695</v>
      </c>
      <c r="J39" s="15" t="s">
        <v>696</v>
      </c>
      <c r="K39" s="15" t="s">
        <v>697</v>
      </c>
      <c r="L39" s="15" t="s">
        <v>698</v>
      </c>
    </row>
    <row r="40" spans="1:12" ht="51" x14ac:dyDescent="0.45">
      <c r="A40" s="15" t="s">
        <v>699</v>
      </c>
      <c r="B40" s="15">
        <v>39</v>
      </c>
      <c r="C40" s="15" t="s">
        <v>128</v>
      </c>
      <c r="D40" s="15" t="s">
        <v>700</v>
      </c>
      <c r="E40" s="15" t="s">
        <v>416</v>
      </c>
      <c r="F40" s="15" t="s">
        <v>701</v>
      </c>
      <c r="G40" s="15" t="s">
        <v>702</v>
      </c>
      <c r="H40" s="15" t="s">
        <v>703</v>
      </c>
      <c r="I40" s="15" t="s">
        <v>704</v>
      </c>
      <c r="J40" s="15" t="s">
        <v>705</v>
      </c>
      <c r="K40" s="15" t="s">
        <v>706</v>
      </c>
      <c r="L40" s="15" t="s">
        <v>707</v>
      </c>
    </row>
    <row r="41" spans="1:12" ht="51" x14ac:dyDescent="0.45">
      <c r="A41" s="15" t="s">
        <v>708</v>
      </c>
      <c r="B41" s="15">
        <v>40</v>
      </c>
      <c r="C41" s="15" t="s">
        <v>128</v>
      </c>
      <c r="D41" s="15" t="s">
        <v>709</v>
      </c>
      <c r="E41" s="15" t="s">
        <v>710</v>
      </c>
      <c r="F41" s="15" t="s">
        <v>711</v>
      </c>
      <c r="G41" s="15" t="s">
        <v>712</v>
      </c>
      <c r="H41" s="15" t="s">
        <v>713</v>
      </c>
      <c r="I41" s="15" t="s">
        <v>714</v>
      </c>
      <c r="J41" s="15" t="s">
        <v>715</v>
      </c>
      <c r="K41" s="15" t="s">
        <v>716</v>
      </c>
      <c r="L41" s="15" t="s">
        <v>717</v>
      </c>
    </row>
    <row r="42" spans="1:12" ht="51" x14ac:dyDescent="0.45">
      <c r="A42" s="15" t="s">
        <v>718</v>
      </c>
      <c r="B42" s="15">
        <v>41</v>
      </c>
      <c r="C42" s="15" t="s">
        <v>162</v>
      </c>
      <c r="D42" s="15" t="s">
        <v>719</v>
      </c>
      <c r="E42" s="15" t="s">
        <v>416</v>
      </c>
      <c r="F42" s="15" t="s">
        <v>720</v>
      </c>
      <c r="G42" s="15" t="s">
        <v>721</v>
      </c>
      <c r="H42" s="15" t="s">
        <v>419</v>
      </c>
      <c r="I42" s="15" t="s">
        <v>722</v>
      </c>
      <c r="J42" s="15" t="s">
        <v>723</v>
      </c>
      <c r="K42" s="15" t="s">
        <v>724</v>
      </c>
      <c r="L42" s="15" t="s">
        <v>725</v>
      </c>
    </row>
    <row r="43" spans="1:12" ht="51" x14ac:dyDescent="0.45">
      <c r="A43" s="15" t="s">
        <v>726</v>
      </c>
      <c r="B43" s="15">
        <v>42</v>
      </c>
      <c r="C43" s="15" t="s">
        <v>162</v>
      </c>
      <c r="D43" s="15" t="s">
        <v>727</v>
      </c>
      <c r="E43" s="15" t="s">
        <v>416</v>
      </c>
      <c r="F43" s="15" t="s">
        <v>728</v>
      </c>
      <c r="G43" s="15" t="s">
        <v>729</v>
      </c>
      <c r="H43" s="15" t="s">
        <v>730</v>
      </c>
      <c r="I43" s="15" t="s">
        <v>731</v>
      </c>
      <c r="J43" s="15" t="s">
        <v>732</v>
      </c>
      <c r="K43" s="15" t="s">
        <v>733</v>
      </c>
      <c r="L43" s="15" t="s">
        <v>734</v>
      </c>
    </row>
    <row r="44" spans="1:12" ht="63.75" x14ac:dyDescent="0.45">
      <c r="A44" s="15" t="s">
        <v>735</v>
      </c>
      <c r="B44" s="15">
        <v>43</v>
      </c>
      <c r="C44" s="15" t="s">
        <v>162</v>
      </c>
      <c r="D44" s="15" t="s">
        <v>736</v>
      </c>
      <c r="E44" s="15" t="s">
        <v>570</v>
      </c>
      <c r="F44" s="15" t="s">
        <v>737</v>
      </c>
      <c r="G44" s="15" t="s">
        <v>738</v>
      </c>
      <c r="H44" s="15" t="s">
        <v>739</v>
      </c>
      <c r="I44" s="15" t="s">
        <v>740</v>
      </c>
      <c r="J44" s="15" t="s">
        <v>741</v>
      </c>
      <c r="K44" s="15" t="s">
        <v>742</v>
      </c>
      <c r="L44" s="15" t="s">
        <v>743</v>
      </c>
    </row>
    <row r="45" spans="1:12" ht="63.75" x14ac:dyDescent="0.45">
      <c r="A45" s="15" t="s">
        <v>744</v>
      </c>
      <c r="B45" s="15">
        <v>44</v>
      </c>
      <c r="C45" s="15" t="s">
        <v>179</v>
      </c>
      <c r="D45" s="15" t="s">
        <v>745</v>
      </c>
      <c r="E45" s="15" t="s">
        <v>746</v>
      </c>
      <c r="F45" s="15" t="s">
        <v>747</v>
      </c>
      <c r="G45" s="15" t="s">
        <v>748</v>
      </c>
      <c r="H45" s="15" t="s">
        <v>749</v>
      </c>
      <c r="I45" s="15" t="s">
        <v>750</v>
      </c>
      <c r="J45" s="15" t="s">
        <v>751</v>
      </c>
      <c r="K45" s="15" t="s">
        <v>752</v>
      </c>
      <c r="L45" s="15" t="s">
        <v>753</v>
      </c>
    </row>
    <row r="46" spans="1:12" ht="63.75" x14ac:dyDescent="0.45">
      <c r="A46" s="15" t="s">
        <v>754</v>
      </c>
      <c r="B46" s="15">
        <v>45</v>
      </c>
      <c r="C46" s="15" t="s">
        <v>179</v>
      </c>
      <c r="D46" s="15" t="s">
        <v>755</v>
      </c>
      <c r="E46" s="15" t="s">
        <v>455</v>
      </c>
      <c r="F46" s="15" t="s">
        <v>756</v>
      </c>
      <c r="G46" s="15" t="s">
        <v>757</v>
      </c>
      <c r="H46" s="15" t="s">
        <v>758</v>
      </c>
      <c r="I46" s="15" t="s">
        <v>759</v>
      </c>
      <c r="J46" s="15" t="s">
        <v>760</v>
      </c>
      <c r="K46" s="15" t="s">
        <v>761</v>
      </c>
      <c r="L46" s="15" t="s">
        <v>762</v>
      </c>
    </row>
    <row r="47" spans="1:12" ht="63.75" x14ac:dyDescent="0.45">
      <c r="A47" s="15" t="s">
        <v>763</v>
      </c>
      <c r="B47" s="15">
        <v>46</v>
      </c>
      <c r="C47" s="15" t="s">
        <v>179</v>
      </c>
      <c r="D47" s="15" t="s">
        <v>764</v>
      </c>
      <c r="E47" s="15" t="s">
        <v>455</v>
      </c>
      <c r="F47" s="15" t="s">
        <v>765</v>
      </c>
      <c r="G47" s="15" t="s">
        <v>766</v>
      </c>
      <c r="H47" s="15" t="s">
        <v>767</v>
      </c>
      <c r="I47" s="15" t="s">
        <v>768</v>
      </c>
      <c r="J47" s="15" t="s">
        <v>769</v>
      </c>
      <c r="K47" s="15" t="s">
        <v>770</v>
      </c>
      <c r="L47" s="15" t="s">
        <v>771</v>
      </c>
    </row>
    <row r="48" spans="1:12" ht="51" x14ac:dyDescent="0.45">
      <c r="A48" s="15" t="s">
        <v>772</v>
      </c>
      <c r="B48" s="15">
        <v>47</v>
      </c>
      <c r="C48" s="15" t="s">
        <v>197</v>
      </c>
      <c r="D48" s="15" t="s">
        <v>773</v>
      </c>
      <c r="E48" s="15" t="s">
        <v>340</v>
      </c>
      <c r="F48" s="15" t="s">
        <v>774</v>
      </c>
      <c r="G48" s="15" t="s">
        <v>775</v>
      </c>
      <c r="H48" s="15" t="s">
        <v>776</v>
      </c>
      <c r="I48" s="15" t="s">
        <v>777</v>
      </c>
      <c r="J48" s="15" t="s">
        <v>778</v>
      </c>
      <c r="K48" s="15" t="s">
        <v>779</v>
      </c>
      <c r="L48" s="15" t="s">
        <v>780</v>
      </c>
    </row>
    <row r="49" spans="1:12" ht="63.75" x14ac:dyDescent="0.45">
      <c r="A49" s="15" t="s">
        <v>781</v>
      </c>
      <c r="B49" s="15">
        <v>48</v>
      </c>
      <c r="C49" s="15" t="s">
        <v>197</v>
      </c>
      <c r="D49" s="15" t="s">
        <v>782</v>
      </c>
      <c r="E49" s="15" t="s">
        <v>340</v>
      </c>
      <c r="F49" s="15" t="s">
        <v>783</v>
      </c>
      <c r="G49" s="15" t="s">
        <v>784</v>
      </c>
      <c r="H49" s="15" t="s">
        <v>785</v>
      </c>
      <c r="I49" s="15" t="s">
        <v>786</v>
      </c>
      <c r="J49" s="15" t="s">
        <v>787</v>
      </c>
      <c r="K49" s="15" t="s">
        <v>788</v>
      </c>
      <c r="L49" s="15" t="s">
        <v>789</v>
      </c>
    </row>
    <row r="50" spans="1:12" ht="51" x14ac:dyDescent="0.45">
      <c r="A50" s="15" t="s">
        <v>790</v>
      </c>
      <c r="B50" s="15">
        <v>49</v>
      </c>
      <c r="C50" s="15" t="s">
        <v>217</v>
      </c>
      <c r="D50" s="15" t="s">
        <v>791</v>
      </c>
      <c r="E50" s="15" t="s">
        <v>792</v>
      </c>
      <c r="F50" s="15" t="s">
        <v>793</v>
      </c>
      <c r="G50" s="15" t="s">
        <v>794</v>
      </c>
      <c r="H50" s="15" t="s">
        <v>795</v>
      </c>
      <c r="I50" s="15" t="s">
        <v>796</v>
      </c>
      <c r="J50" s="15" t="s">
        <v>797</v>
      </c>
      <c r="K50" s="15" t="s">
        <v>798</v>
      </c>
      <c r="L50" s="15" t="s">
        <v>799</v>
      </c>
    </row>
    <row r="51" spans="1:12" ht="63.75" x14ac:dyDescent="0.45">
      <c r="A51" s="15" t="s">
        <v>800</v>
      </c>
      <c r="B51" s="15">
        <v>50</v>
      </c>
      <c r="C51" s="15" t="s">
        <v>217</v>
      </c>
      <c r="D51" s="15" t="s">
        <v>801</v>
      </c>
      <c r="E51" s="15" t="s">
        <v>512</v>
      </c>
      <c r="F51" s="15" t="s">
        <v>802</v>
      </c>
      <c r="G51" s="15" t="s">
        <v>803</v>
      </c>
      <c r="H51" s="15" t="s">
        <v>804</v>
      </c>
      <c r="I51" s="15" t="s">
        <v>805</v>
      </c>
      <c r="J51" s="15" t="s">
        <v>806</v>
      </c>
      <c r="K51" s="15" t="s">
        <v>807</v>
      </c>
      <c r="L51" s="15" t="s">
        <v>808</v>
      </c>
    </row>
    <row r="52" spans="1:12" ht="51" x14ac:dyDescent="0.45">
      <c r="A52" s="15" t="s">
        <v>809</v>
      </c>
      <c r="B52" s="15">
        <v>51</v>
      </c>
      <c r="C52" s="15" t="s">
        <v>237</v>
      </c>
      <c r="D52" s="15" t="s">
        <v>810</v>
      </c>
      <c r="E52" s="15" t="s">
        <v>416</v>
      </c>
      <c r="F52" s="15" t="s">
        <v>811</v>
      </c>
      <c r="G52" s="15" t="s">
        <v>812</v>
      </c>
      <c r="H52" s="15" t="s">
        <v>419</v>
      </c>
      <c r="I52" s="15" t="s">
        <v>813</v>
      </c>
      <c r="J52" s="15" t="s">
        <v>814</v>
      </c>
      <c r="K52" s="15" t="s">
        <v>815</v>
      </c>
      <c r="L52" s="15" t="s">
        <v>816</v>
      </c>
    </row>
    <row r="53" spans="1:12" ht="63.75" x14ac:dyDescent="0.45">
      <c r="A53" s="15" t="s">
        <v>817</v>
      </c>
      <c r="B53" s="15">
        <v>52</v>
      </c>
      <c r="C53" s="15" t="s">
        <v>253</v>
      </c>
      <c r="D53" s="15" t="s">
        <v>818</v>
      </c>
      <c r="E53" s="15" t="s">
        <v>627</v>
      </c>
      <c r="F53" s="15" t="s">
        <v>819</v>
      </c>
      <c r="G53" s="15" t="s">
        <v>820</v>
      </c>
      <c r="H53" s="15" t="s">
        <v>821</v>
      </c>
      <c r="I53" s="15" t="s">
        <v>822</v>
      </c>
      <c r="J53" s="15" t="s">
        <v>823</v>
      </c>
      <c r="K53" s="15" t="s">
        <v>824</v>
      </c>
      <c r="L53" s="15" t="s">
        <v>825</v>
      </c>
    </row>
    <row r="54" spans="1:12" ht="63.75" x14ac:dyDescent="0.45">
      <c r="A54" s="15" t="s">
        <v>826</v>
      </c>
      <c r="B54" s="15">
        <v>53</v>
      </c>
      <c r="C54" s="15" t="s">
        <v>265</v>
      </c>
      <c r="D54" s="15" t="s">
        <v>827</v>
      </c>
      <c r="E54" s="15" t="s">
        <v>455</v>
      </c>
      <c r="F54" s="15" t="s">
        <v>828</v>
      </c>
      <c r="G54" s="15" t="s">
        <v>829</v>
      </c>
      <c r="H54" s="15" t="s">
        <v>830</v>
      </c>
      <c r="I54" s="15" t="s">
        <v>831</v>
      </c>
      <c r="J54" s="15" t="s">
        <v>832</v>
      </c>
      <c r="K54" s="15" t="s">
        <v>833</v>
      </c>
      <c r="L54" s="15" t="s">
        <v>834</v>
      </c>
    </row>
    <row r="55" spans="1:12" ht="76.5" x14ac:dyDescent="0.45">
      <c r="A55" s="15" t="s">
        <v>835</v>
      </c>
      <c r="B55" s="15">
        <v>54</v>
      </c>
      <c r="C55" s="15" t="s">
        <v>279</v>
      </c>
      <c r="D55" s="15" t="s">
        <v>836</v>
      </c>
      <c r="E55" s="15" t="s">
        <v>837</v>
      </c>
      <c r="F55" s="15" t="s">
        <v>838</v>
      </c>
      <c r="G55" s="15" t="s">
        <v>839</v>
      </c>
      <c r="H55" s="15" t="s">
        <v>840</v>
      </c>
      <c r="I55" s="15" t="s">
        <v>841</v>
      </c>
      <c r="J55" s="15" t="s">
        <v>842</v>
      </c>
      <c r="K55" s="15" t="s">
        <v>843</v>
      </c>
      <c r="L55" s="15" t="s">
        <v>844</v>
      </c>
    </row>
    <row r="56" spans="1:12" ht="51" x14ac:dyDescent="0.45">
      <c r="A56" s="15" t="s">
        <v>845</v>
      </c>
      <c r="B56" s="15">
        <v>55</v>
      </c>
      <c r="C56" s="15" t="s">
        <v>11</v>
      </c>
      <c r="D56" s="15" t="s">
        <v>846</v>
      </c>
      <c r="E56" s="15" t="s">
        <v>340</v>
      </c>
      <c r="F56" s="15" t="s">
        <v>847</v>
      </c>
      <c r="G56" s="15" t="s">
        <v>848</v>
      </c>
      <c r="H56" s="15" t="s">
        <v>352</v>
      </c>
      <c r="I56" s="15" t="s">
        <v>849</v>
      </c>
      <c r="J56" s="15" t="s">
        <v>850</v>
      </c>
      <c r="K56" s="15" t="s">
        <v>851</v>
      </c>
      <c r="L56" s="15" t="s">
        <v>852</v>
      </c>
    </row>
    <row r="57" spans="1:12" ht="63.75" x14ac:dyDescent="0.45">
      <c r="A57" s="15" t="s">
        <v>853</v>
      </c>
      <c r="B57" s="15">
        <v>56</v>
      </c>
      <c r="C57" s="15" t="s">
        <v>11</v>
      </c>
      <c r="D57" s="15" t="s">
        <v>854</v>
      </c>
      <c r="E57" s="15" t="s">
        <v>340</v>
      </c>
      <c r="F57" s="15" t="s">
        <v>855</v>
      </c>
      <c r="G57" s="15" t="s">
        <v>856</v>
      </c>
      <c r="H57" s="15" t="s">
        <v>857</v>
      </c>
      <c r="I57" s="15" t="s">
        <v>858</v>
      </c>
      <c r="J57" s="15" t="s">
        <v>859</v>
      </c>
      <c r="K57" s="15" t="s">
        <v>860</v>
      </c>
      <c r="L57" s="15" t="s">
        <v>861</v>
      </c>
    </row>
    <row r="58" spans="1:12" ht="63.75" x14ac:dyDescent="0.45">
      <c r="A58" s="15" t="s">
        <v>862</v>
      </c>
      <c r="B58" s="15">
        <v>57</v>
      </c>
      <c r="C58" s="15" t="s">
        <v>11</v>
      </c>
      <c r="D58" s="15" t="s">
        <v>863</v>
      </c>
      <c r="E58" s="15" t="s">
        <v>340</v>
      </c>
      <c r="F58" s="15" t="s">
        <v>864</v>
      </c>
      <c r="G58" s="15" t="s">
        <v>865</v>
      </c>
      <c r="H58" s="15" t="s">
        <v>866</v>
      </c>
      <c r="I58" s="15" t="s">
        <v>867</v>
      </c>
      <c r="J58" s="15" t="s">
        <v>868</v>
      </c>
      <c r="K58" s="15" t="s">
        <v>869</v>
      </c>
      <c r="L58" s="15" t="s">
        <v>870</v>
      </c>
    </row>
    <row r="59" spans="1:12" ht="76.5" x14ac:dyDescent="0.45">
      <c r="A59" s="15" t="s">
        <v>871</v>
      </c>
      <c r="B59" s="15">
        <v>58</v>
      </c>
      <c r="C59" s="15" t="s">
        <v>11</v>
      </c>
      <c r="D59" s="15" t="s">
        <v>872</v>
      </c>
      <c r="E59" s="15" t="s">
        <v>873</v>
      </c>
      <c r="F59" s="15" t="s">
        <v>874</v>
      </c>
      <c r="G59" s="15" t="s">
        <v>875</v>
      </c>
      <c r="H59" s="15" t="s">
        <v>563</v>
      </c>
      <c r="I59" s="15" t="s">
        <v>876</v>
      </c>
      <c r="J59" s="15" t="s">
        <v>877</v>
      </c>
      <c r="K59" s="15" t="s">
        <v>878</v>
      </c>
      <c r="L59" s="15" t="s">
        <v>879</v>
      </c>
    </row>
    <row r="60" spans="1:12" ht="63.75" x14ac:dyDescent="0.45">
      <c r="A60" s="15" t="s">
        <v>880</v>
      </c>
      <c r="B60" s="15">
        <v>59</v>
      </c>
      <c r="C60" s="15" t="s">
        <v>81</v>
      </c>
      <c r="D60" s="15" t="s">
        <v>881</v>
      </c>
      <c r="E60" s="15" t="s">
        <v>882</v>
      </c>
      <c r="F60" s="15" t="s">
        <v>883</v>
      </c>
      <c r="G60" s="15" t="s">
        <v>884</v>
      </c>
      <c r="H60" s="15" t="s">
        <v>885</v>
      </c>
      <c r="I60" s="15" t="s">
        <v>886</v>
      </c>
      <c r="J60" s="15" t="s">
        <v>887</v>
      </c>
      <c r="K60" s="15" t="s">
        <v>888</v>
      </c>
      <c r="L60" s="15" t="s">
        <v>889</v>
      </c>
    </row>
    <row r="61" spans="1:12" ht="51" x14ac:dyDescent="0.45">
      <c r="A61" s="15" t="s">
        <v>890</v>
      </c>
      <c r="B61" s="15">
        <v>60</v>
      </c>
      <c r="C61" s="15" t="s">
        <v>102</v>
      </c>
      <c r="D61" s="15" t="s">
        <v>891</v>
      </c>
      <c r="E61" s="15" t="s">
        <v>416</v>
      </c>
      <c r="F61" s="15" t="s">
        <v>892</v>
      </c>
      <c r="G61" s="15" t="s">
        <v>893</v>
      </c>
      <c r="H61" s="15" t="s">
        <v>894</v>
      </c>
      <c r="I61" s="15" t="s">
        <v>895</v>
      </c>
      <c r="J61" s="15" t="s">
        <v>896</v>
      </c>
      <c r="K61" s="15" t="s">
        <v>897</v>
      </c>
      <c r="L61" s="15" t="s">
        <v>898</v>
      </c>
    </row>
    <row r="62" spans="1:12" ht="51" x14ac:dyDescent="0.45">
      <c r="A62" s="15" t="s">
        <v>899</v>
      </c>
      <c r="B62" s="15">
        <v>61</v>
      </c>
      <c r="C62" s="15" t="s">
        <v>102</v>
      </c>
      <c r="D62" s="15" t="s">
        <v>900</v>
      </c>
      <c r="E62" s="15" t="s">
        <v>901</v>
      </c>
      <c r="F62" s="15" t="s">
        <v>902</v>
      </c>
      <c r="G62" s="15" t="s">
        <v>903</v>
      </c>
      <c r="H62" s="15" t="s">
        <v>904</v>
      </c>
      <c r="I62" s="15" t="s">
        <v>905</v>
      </c>
      <c r="J62" s="15" t="s">
        <v>906</v>
      </c>
      <c r="K62" s="15" t="s">
        <v>907</v>
      </c>
      <c r="L62" s="15" t="s">
        <v>908</v>
      </c>
    </row>
    <row r="63" spans="1:12" ht="51" x14ac:dyDescent="0.45">
      <c r="A63" s="15" t="s">
        <v>909</v>
      </c>
      <c r="B63" s="15">
        <v>62</v>
      </c>
      <c r="C63" s="15" t="s">
        <v>128</v>
      </c>
      <c r="D63" s="15" t="s">
        <v>910</v>
      </c>
      <c r="E63" s="15" t="s">
        <v>416</v>
      </c>
      <c r="F63" s="15" t="s">
        <v>911</v>
      </c>
      <c r="G63" s="15" t="s">
        <v>912</v>
      </c>
      <c r="H63" s="15" t="s">
        <v>913</v>
      </c>
      <c r="I63" s="15" t="s">
        <v>914</v>
      </c>
      <c r="J63" s="15" t="s">
        <v>915</v>
      </c>
      <c r="K63" s="15" t="s">
        <v>916</v>
      </c>
      <c r="L63" s="15" t="s">
        <v>917</v>
      </c>
    </row>
    <row r="64" spans="1:12" ht="51" x14ac:dyDescent="0.45">
      <c r="A64" s="15" t="s">
        <v>918</v>
      </c>
      <c r="B64" s="15">
        <v>63</v>
      </c>
      <c r="C64" s="15" t="s">
        <v>128</v>
      </c>
      <c r="D64" s="15" t="s">
        <v>919</v>
      </c>
      <c r="E64" s="15" t="s">
        <v>340</v>
      </c>
      <c r="F64" s="15" t="s">
        <v>920</v>
      </c>
      <c r="G64" s="15" t="s">
        <v>921</v>
      </c>
      <c r="H64" s="15" t="s">
        <v>352</v>
      </c>
      <c r="I64" s="15" t="s">
        <v>922</v>
      </c>
      <c r="J64" s="15" t="s">
        <v>923</v>
      </c>
      <c r="K64" s="15" t="s">
        <v>924</v>
      </c>
      <c r="L64" s="15" t="s">
        <v>925</v>
      </c>
    </row>
    <row r="65" spans="1:12" ht="63.75" x14ac:dyDescent="0.45">
      <c r="A65" s="15" t="s">
        <v>926</v>
      </c>
      <c r="B65" s="15">
        <v>64</v>
      </c>
      <c r="C65" s="15" t="s">
        <v>162</v>
      </c>
      <c r="D65" s="15" t="s">
        <v>927</v>
      </c>
      <c r="E65" s="15" t="s">
        <v>416</v>
      </c>
      <c r="F65" s="15" t="s">
        <v>928</v>
      </c>
      <c r="G65" s="15" t="s">
        <v>929</v>
      </c>
      <c r="H65" s="15" t="s">
        <v>930</v>
      </c>
      <c r="I65" s="15" t="s">
        <v>931</v>
      </c>
      <c r="J65" s="15" t="s">
        <v>932</v>
      </c>
      <c r="K65" s="15" t="s">
        <v>933</v>
      </c>
      <c r="L65" s="15" t="s">
        <v>934</v>
      </c>
    </row>
    <row r="66" spans="1:12" ht="51" x14ac:dyDescent="0.45">
      <c r="A66" s="15" t="s">
        <v>935</v>
      </c>
      <c r="B66" s="15">
        <v>65</v>
      </c>
      <c r="C66" s="15" t="s">
        <v>162</v>
      </c>
      <c r="D66" s="15" t="s">
        <v>936</v>
      </c>
      <c r="E66" s="15" t="s">
        <v>340</v>
      </c>
      <c r="F66" s="15" t="s">
        <v>937</v>
      </c>
      <c r="G66" s="15" t="s">
        <v>938</v>
      </c>
      <c r="H66" s="15" t="s">
        <v>939</v>
      </c>
      <c r="I66" s="15" t="s">
        <v>940</v>
      </c>
      <c r="J66" s="15" t="s">
        <v>941</v>
      </c>
      <c r="K66" s="15" t="s">
        <v>942</v>
      </c>
      <c r="L66" s="15" t="s">
        <v>943</v>
      </c>
    </row>
    <row r="68" spans="1:12" ht="409.5" x14ac:dyDescent="0.45">
      <c r="A68" s="24" t="s">
        <v>944</v>
      </c>
    </row>
  </sheetData>
  <autoFilter ref="A1:L66"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8"/>
  <sheetViews>
    <sheetView workbookViewId="0">
      <pane ySplit="1" topLeftCell="A2" activePane="bottomLeft" state="frozen"/>
      <selection pane="bottomLeft" activeCell="C3" sqref="C3"/>
    </sheetView>
  </sheetViews>
  <sheetFormatPr baseColWidth="10" defaultColWidth="9.06640625" defaultRowHeight="14.25" x14ac:dyDescent="0.45"/>
  <cols>
    <col min="1" max="1" width="7" customWidth="1"/>
    <col min="2" max="2" width="26" customWidth="1"/>
    <col min="3" max="3" width="70" customWidth="1"/>
    <col min="4" max="4" width="15" customWidth="1"/>
    <col min="5" max="5" width="12" customWidth="1"/>
    <col min="6" max="6" width="14" customWidth="1"/>
    <col min="7" max="7" width="12" customWidth="1"/>
  </cols>
  <sheetData>
    <row r="1" spans="1:7" ht="27.75" x14ac:dyDescent="0.45">
      <c r="A1" s="23" t="s">
        <v>325</v>
      </c>
      <c r="B1" s="23" t="s">
        <v>0</v>
      </c>
      <c r="C1" s="23" t="s">
        <v>1</v>
      </c>
      <c r="D1" s="23" t="s">
        <v>6</v>
      </c>
      <c r="E1" s="23" t="s">
        <v>326</v>
      </c>
      <c r="F1" s="23" t="s">
        <v>8</v>
      </c>
      <c r="G1" s="23" t="s">
        <v>9</v>
      </c>
    </row>
    <row r="2" spans="1:7" x14ac:dyDescent="0.45">
      <c r="A2">
        <v>1</v>
      </c>
      <c r="B2" t="str">
        <f>'3. Caracterización'!A44</f>
        <v>Confiabilidad</v>
      </c>
      <c r="C2" s="24" t="str">
        <f>'3. Caracterización'!B44</f>
        <v>¿Se necesita que no se pierda ningún dato capturado bajo ninguna circunstancia?</v>
      </c>
      <c r="D2">
        <f>'3. Caracterización'!G44</f>
        <v>5</v>
      </c>
      <c r="E2">
        <f>'3. Caracterización'!H44</f>
        <v>5</v>
      </c>
      <c r="F2">
        <f>'3. Caracterización'!I44</f>
        <v>0</v>
      </c>
      <c r="G2">
        <f t="shared" ref="G2:G33" si="0">SUM(D2:F2)</f>
        <v>10</v>
      </c>
    </row>
    <row r="3" spans="1:7" ht="28.5" x14ac:dyDescent="0.45">
      <c r="A3">
        <v>2</v>
      </c>
      <c r="B3" t="str">
        <f>'3. Caracterización'!A11</f>
        <v>Confiabilidad</v>
      </c>
      <c r="C3" s="24" t="str">
        <f>'3. Caracterización'!B11</f>
        <v>¿Se necesita que el sistema rechace un dato cuando está fuera del rango posible (por ejemplo, más tallos que plantas sembradas)?</v>
      </c>
      <c r="D3">
        <f>'3. Caracterización'!G11</f>
        <v>3</v>
      </c>
      <c r="E3">
        <f>'3. Caracterización'!H11</f>
        <v>3</v>
      </c>
      <c r="F3">
        <f>'3. Caracterización'!I11</f>
        <v>0</v>
      </c>
      <c r="G3">
        <f t="shared" si="0"/>
        <v>6</v>
      </c>
    </row>
    <row r="4" spans="1:7" ht="28.5" x14ac:dyDescent="0.45">
      <c r="A4">
        <v>3</v>
      </c>
      <c r="B4" t="str">
        <f>'3. Caracterización'!A49</f>
        <v>Confiabilidad</v>
      </c>
      <c r="C4" s="24" t="str">
        <f>'3. Caracterización'!B49</f>
        <v>¿Se necesita que el sistema haga copias de respaldo de manera automática, sin que nadie lo solicite?</v>
      </c>
      <c r="D4">
        <f>'3. Caracterización'!G49</f>
        <v>0</v>
      </c>
      <c r="E4">
        <f>'3. Caracterización'!H49</f>
        <v>0</v>
      </c>
      <c r="F4">
        <f>'3. Caracterización'!I49</f>
        <v>5</v>
      </c>
      <c r="G4">
        <f t="shared" si="0"/>
        <v>5</v>
      </c>
    </row>
    <row r="5" spans="1:7" x14ac:dyDescent="0.45">
      <c r="A5">
        <v>4</v>
      </c>
      <c r="B5" t="str">
        <f>'3. Caracterización'!A59</f>
        <v>Disponibilidad</v>
      </c>
      <c r="C5" s="24" t="str">
        <f>'3. Caracterización'!B59</f>
        <v>¿Se necesita capturar información en el área de cultivo sin ninguna conexión de datos?</v>
      </c>
      <c r="D5">
        <f>'3. Caracterización'!G59</f>
        <v>5</v>
      </c>
      <c r="E5">
        <f>'3. Caracterización'!H59</f>
        <v>0</v>
      </c>
      <c r="F5">
        <f>'3. Caracterización'!I59</f>
        <v>0</v>
      </c>
      <c r="G5">
        <f t="shared" si="0"/>
        <v>5</v>
      </c>
    </row>
    <row r="6" spans="1:7" ht="28.5" x14ac:dyDescent="0.45">
      <c r="A6">
        <v>5</v>
      </c>
      <c r="B6" t="str">
        <f>'3. Caracterización'!A95</f>
        <v>Rendimiento</v>
      </c>
      <c r="C6" s="24" t="str">
        <f>'3. Caracterización'!B95</f>
        <v>¿Se necesita que la proyección se recalcule en el momento en que llega información nueva?</v>
      </c>
      <c r="D6">
        <f>'3. Caracterización'!G95</f>
        <v>0</v>
      </c>
      <c r="E6">
        <f>'3. Caracterización'!H95</f>
        <v>5</v>
      </c>
      <c r="F6">
        <f>'3. Caracterización'!I95</f>
        <v>0</v>
      </c>
      <c r="G6">
        <f t="shared" si="0"/>
        <v>5</v>
      </c>
    </row>
    <row r="7" spans="1:7" ht="28.5" x14ac:dyDescent="0.45">
      <c r="A7">
        <v>6</v>
      </c>
      <c r="B7" t="str">
        <f>'3. Caracterización'!A162</f>
        <v>Capacidad para ser Administrado</v>
      </c>
      <c r="C7" s="24" t="str">
        <f>'3. Caracterización'!B162</f>
        <v>¿Se necesita que quien administra el sistema en la finca no pueda modificar la información de producción?</v>
      </c>
      <c r="D7">
        <f>'3. Caracterización'!G162</f>
        <v>0</v>
      </c>
      <c r="E7">
        <f>'3. Caracterización'!H162</f>
        <v>0</v>
      </c>
      <c r="F7">
        <f>'3. Caracterización'!I162</f>
        <v>5</v>
      </c>
      <c r="G7">
        <f t="shared" si="0"/>
        <v>5</v>
      </c>
    </row>
    <row r="8" spans="1:7" ht="28.5" x14ac:dyDescent="0.45">
      <c r="A8">
        <v>7</v>
      </c>
      <c r="B8" t="str">
        <f>'3. Caracterización'!A14</f>
        <v>Confiabilidad</v>
      </c>
      <c r="C8" s="24" t="str">
        <f>'3. Caracterización'!B14</f>
        <v>¿Se necesita que los rangos y las reglas de validación se puedan cambiar sin depender de una nueva versión de la aplicación?</v>
      </c>
      <c r="D8">
        <f>'3. Caracterización'!G14</f>
        <v>0</v>
      </c>
      <c r="E8">
        <f>'3. Caracterización'!H14</f>
        <v>3</v>
      </c>
      <c r="F8">
        <f>'3. Caracterización'!I14</f>
        <v>1</v>
      </c>
      <c r="G8">
        <f t="shared" si="0"/>
        <v>4</v>
      </c>
    </row>
    <row r="9" spans="1:7" x14ac:dyDescent="0.45">
      <c r="A9">
        <v>8</v>
      </c>
      <c r="B9" t="str">
        <f>'3. Caracterización'!A27</f>
        <v>Confiabilidad</v>
      </c>
      <c r="C9" s="24" t="str">
        <f>'3. Caracterización'!B27</f>
        <v>¿Se necesita poder corregir un dato ya capturado antes de que se sincronice?</v>
      </c>
      <c r="D9">
        <f>'3. Caracterización'!G27</f>
        <v>4</v>
      </c>
      <c r="E9">
        <f>'3. Caracterización'!H27</f>
        <v>0</v>
      </c>
      <c r="F9">
        <f>'3. Caracterización'!I27</f>
        <v>0</v>
      </c>
      <c r="G9">
        <f t="shared" si="0"/>
        <v>4</v>
      </c>
    </row>
    <row r="10" spans="1:7" ht="28.5" x14ac:dyDescent="0.45">
      <c r="A10">
        <v>9</v>
      </c>
      <c r="B10" t="str">
        <f>'3. Caracterización'!A35</f>
        <v>Confiabilidad</v>
      </c>
      <c r="C10" s="24" t="str">
        <f>'3. Caracterización'!B35</f>
        <v>¿Se necesita saber, sobre cada proyección, con qué datos y con qué parámetros fue calculada?</v>
      </c>
      <c r="D10">
        <f>'3. Caracterización'!G35</f>
        <v>0</v>
      </c>
      <c r="E10">
        <f>'3. Caracterización'!H35</f>
        <v>4</v>
      </c>
      <c r="F10">
        <f>'3. Caracterización'!I35</f>
        <v>0</v>
      </c>
      <c r="G10">
        <f t="shared" si="0"/>
        <v>4</v>
      </c>
    </row>
    <row r="11" spans="1:7" ht="28.5" x14ac:dyDescent="0.45">
      <c r="A11">
        <v>10</v>
      </c>
      <c r="B11" t="str">
        <f>'3. Caracterización'!A37</f>
        <v>Confiabilidad</v>
      </c>
      <c r="C11" s="24" t="str">
        <f>'3. Caracterización'!B37</f>
        <v>¿Se necesita que el sistema muestre cuánto se desvió la proyección anterior frente a lo que realmente se cortó?</v>
      </c>
      <c r="D11">
        <f>'3. Caracterización'!G37</f>
        <v>0</v>
      </c>
      <c r="E11">
        <f>'3. Caracterización'!H37</f>
        <v>4</v>
      </c>
      <c r="F11">
        <f>'3. Caracterización'!I37</f>
        <v>0</v>
      </c>
      <c r="G11">
        <f t="shared" si="0"/>
        <v>4</v>
      </c>
    </row>
    <row r="12" spans="1:7" ht="28.5" x14ac:dyDescent="0.45">
      <c r="A12">
        <v>11</v>
      </c>
      <c r="B12" t="str">
        <f>'3. Caracterización'!A45</f>
        <v>Confiabilidad</v>
      </c>
      <c r="C12" s="24" t="str">
        <f>'3. Caracterización'!B45</f>
        <v>¿Se necesita que la información se conserve cuando el dispositivo se apaga por batería agotada a mitad de una captura?</v>
      </c>
      <c r="D12">
        <f>'3. Caracterización'!G45</f>
        <v>4</v>
      </c>
      <c r="E12">
        <f>'3. Caracterización'!H45</f>
        <v>0</v>
      </c>
      <c r="F12">
        <f>'3. Caracterización'!I45</f>
        <v>0</v>
      </c>
      <c r="G12">
        <f t="shared" si="0"/>
        <v>4</v>
      </c>
    </row>
    <row r="13" spans="1:7" ht="28.5" x14ac:dyDescent="0.45">
      <c r="A13">
        <v>12</v>
      </c>
      <c r="B13" t="str">
        <f>'3. Caracterización'!A107</f>
        <v>Capacidad para ser Auditado</v>
      </c>
      <c r="C13" s="24" t="str">
        <f>'3. Caracterización'!B107</f>
        <v>¿Se necesita poder ver la historia completa de una cama desde la siembra hasta la erradicación?</v>
      </c>
      <c r="D13">
        <f>'3. Caracterización'!G107</f>
        <v>0</v>
      </c>
      <c r="E13">
        <f>'3. Caracterización'!H107</f>
        <v>4</v>
      </c>
      <c r="F13">
        <f>'3. Caracterización'!I107</f>
        <v>0</v>
      </c>
      <c r="G13">
        <f t="shared" si="0"/>
        <v>4</v>
      </c>
    </row>
    <row r="14" spans="1:7" ht="28.5" x14ac:dyDescent="0.45">
      <c r="A14">
        <v>13</v>
      </c>
      <c r="B14" t="str">
        <f>'3. Caracterización'!A147</f>
        <v>Capacidad para ser Administrado</v>
      </c>
      <c r="C14" s="24" t="str">
        <f>'3. Caracterización'!B147</f>
        <v>¿Se necesita poder crear y dar de baja usuarios sin solicitarlo a quien desarrolló el sistema?</v>
      </c>
      <c r="D14">
        <f>'3. Caracterización'!G147</f>
        <v>0</v>
      </c>
      <c r="E14">
        <f>'3. Caracterización'!H147</f>
        <v>0</v>
      </c>
      <c r="F14">
        <f>'3. Caracterización'!I147</f>
        <v>4</v>
      </c>
      <c r="G14">
        <f t="shared" si="0"/>
        <v>4</v>
      </c>
    </row>
    <row r="15" spans="1:7" ht="28.5" x14ac:dyDescent="0.45">
      <c r="A15">
        <v>14</v>
      </c>
      <c r="B15" t="str">
        <f>'3. Caracterización'!A161</f>
        <v>Capacidad para ser Administrado</v>
      </c>
      <c r="C15" s="24" t="str">
        <f>'3. Caracterización'!B161</f>
        <v>¿Se necesita que la administración del sistema se pueda hacer desde un computador de la finca, sin herramientas técnicas especiales?</v>
      </c>
      <c r="D15">
        <f>'3. Caracterización'!G161</f>
        <v>0</v>
      </c>
      <c r="E15">
        <f>'3. Caracterización'!H161</f>
        <v>0</v>
      </c>
      <c r="F15">
        <f>'3. Caracterización'!I161</f>
        <v>4</v>
      </c>
      <c r="G15">
        <f t="shared" si="0"/>
        <v>4</v>
      </c>
    </row>
    <row r="16" spans="1:7" x14ac:dyDescent="0.45">
      <c r="A16">
        <v>15</v>
      </c>
      <c r="B16" t="str">
        <f>'3. Caracterización'!A165</f>
        <v>Experiencia de Usuario</v>
      </c>
      <c r="C16" s="24" t="str">
        <f>'3. Caracterización'!B165</f>
        <v>¿Se necesita que la pantalla sea legible bajo el sol directo?</v>
      </c>
      <c r="D16">
        <f>'3. Caracterización'!G165</f>
        <v>4</v>
      </c>
      <c r="E16">
        <f>'3. Caracterización'!H165</f>
        <v>0</v>
      </c>
      <c r="F16">
        <f>'3. Caracterización'!I165</f>
        <v>0</v>
      </c>
      <c r="G16">
        <f t="shared" si="0"/>
        <v>4</v>
      </c>
    </row>
    <row r="17" spans="1:7" ht="28.5" x14ac:dyDescent="0.45">
      <c r="A17">
        <v>16</v>
      </c>
      <c r="B17" t="str">
        <f>'3. Caracterización'!A248</f>
        <v>Portabilidad</v>
      </c>
      <c r="C17" s="24" t="str">
        <f>'3. Caracterización'!B248</f>
        <v>¿Se necesita que el sistema pueda instalarse en servidores de la propia empresa y no solo en la nube?</v>
      </c>
      <c r="D17">
        <f>'3. Caracterización'!G248</f>
        <v>0</v>
      </c>
      <c r="E17">
        <f>'3. Caracterización'!H248</f>
        <v>0</v>
      </c>
      <c r="F17">
        <f>'3. Caracterización'!I248</f>
        <v>4</v>
      </c>
      <c r="G17">
        <f t="shared" si="0"/>
        <v>4</v>
      </c>
    </row>
    <row r="18" spans="1:7" ht="28.5" x14ac:dyDescent="0.45">
      <c r="A18">
        <v>17</v>
      </c>
      <c r="B18" t="str">
        <f>'3. Caracterización'!A19</f>
        <v>Confiabilidad</v>
      </c>
      <c r="C18" s="24" t="str">
        <f>'3. Caracterización'!B19</f>
        <v>¿Se necesita que el sistema bloquee la captura cuando detecta que la fecha y la hora del dispositivo fueron alteradas?</v>
      </c>
      <c r="D18">
        <f>'3. Caracterización'!G19</f>
        <v>1</v>
      </c>
      <c r="E18">
        <f>'3. Caracterización'!H19</f>
        <v>0</v>
      </c>
      <c r="F18">
        <f>'3. Caracterización'!I19</f>
        <v>2</v>
      </c>
      <c r="G18">
        <f t="shared" si="0"/>
        <v>3</v>
      </c>
    </row>
    <row r="19" spans="1:7" ht="28.5" x14ac:dyDescent="0.45">
      <c r="A19">
        <v>18</v>
      </c>
      <c r="B19" t="str">
        <f>'3. Caracterización'!A46</f>
        <v>Confiabilidad</v>
      </c>
      <c r="C19" s="24" t="str">
        <f>'3. Caracterización'!B46</f>
        <v>¿Se necesita que la información se conserve cuando la aplicación se cierra de manera inesperada?</v>
      </c>
      <c r="D19">
        <f>'3. Caracterización'!G46</f>
        <v>3</v>
      </c>
      <c r="E19">
        <f>'3. Caracterización'!H46</f>
        <v>0</v>
      </c>
      <c r="F19">
        <f>'3. Caracterización'!I46</f>
        <v>0</v>
      </c>
      <c r="G19">
        <f t="shared" si="0"/>
        <v>3</v>
      </c>
    </row>
    <row r="20" spans="1:7" ht="28.5" x14ac:dyDescent="0.45">
      <c r="A20">
        <v>19</v>
      </c>
      <c r="B20" t="str">
        <f>'3. Caracterización'!A57</f>
        <v>Confiabilidad</v>
      </c>
      <c r="C20" s="24" t="str">
        <f>'3. Caracterización'!B57</f>
        <v>¿Se necesita que exista una prueba periódica de que las copias de respaldo efectivamente sirven?</v>
      </c>
      <c r="D20">
        <f>'3. Caracterización'!G57</f>
        <v>0</v>
      </c>
      <c r="E20">
        <f>'3. Caracterización'!H57</f>
        <v>0</v>
      </c>
      <c r="F20">
        <f>'3. Caracterización'!I57</f>
        <v>3</v>
      </c>
      <c r="G20">
        <f t="shared" si="0"/>
        <v>3</v>
      </c>
    </row>
    <row r="21" spans="1:7" ht="28.5" x14ac:dyDescent="0.45">
      <c r="A21">
        <v>20</v>
      </c>
      <c r="B21" t="str">
        <f>'3. Caracterización'!A78</f>
        <v>Disponibilidad</v>
      </c>
      <c r="C21" s="24" t="str">
        <f>'3. Caracterización'!B78</f>
        <v>¿Se necesita que el sistema avise cuando un dispositivo lleva demasiado tiempo sin sincronizar?</v>
      </c>
      <c r="D21">
        <f>'3. Caracterización'!G78</f>
        <v>3</v>
      </c>
      <c r="E21">
        <f>'3. Caracterización'!H78</f>
        <v>0</v>
      </c>
      <c r="F21">
        <f>'3. Caracterización'!I78</f>
        <v>0</v>
      </c>
      <c r="G21">
        <f t="shared" si="0"/>
        <v>3</v>
      </c>
    </row>
    <row r="22" spans="1:7" ht="28.5" x14ac:dyDescent="0.45">
      <c r="A22">
        <v>21</v>
      </c>
      <c r="B22" t="str">
        <f>'3. Caracterización'!A145</f>
        <v>Capacidad</v>
      </c>
      <c r="C22" s="24" t="str">
        <f>'3. Caracterización'!B145</f>
        <v>¿Se necesita prever un crecimiento del volumen de información año tras año sin cambiar de sistema?</v>
      </c>
      <c r="D22">
        <f>'3. Caracterización'!G145</f>
        <v>0</v>
      </c>
      <c r="E22">
        <f>'3. Caracterización'!H145</f>
        <v>3</v>
      </c>
      <c r="F22">
        <f>'3. Caracterización'!I145</f>
        <v>0</v>
      </c>
      <c r="G22">
        <f t="shared" si="0"/>
        <v>3</v>
      </c>
    </row>
    <row r="23" spans="1:7" x14ac:dyDescent="0.45">
      <c r="A23">
        <v>22</v>
      </c>
      <c r="B23" t="str">
        <f>'3. Caracterización'!A148</f>
        <v>Capacidad para ser Administrado</v>
      </c>
      <c r="C23" s="24" t="str">
        <f>'3. Caracterización'!B148</f>
        <v>¿Se necesita poder cambiar los permisos de un usuario de manera inmediata?</v>
      </c>
      <c r="D23">
        <f>'3. Caracterización'!G148</f>
        <v>0</v>
      </c>
      <c r="E23">
        <f>'3. Caracterización'!H148</f>
        <v>0</v>
      </c>
      <c r="F23">
        <f>'3. Caracterización'!I148</f>
        <v>3</v>
      </c>
      <c r="G23">
        <f t="shared" si="0"/>
        <v>3</v>
      </c>
    </row>
    <row r="24" spans="1:7" x14ac:dyDescent="0.45">
      <c r="A24">
        <v>23</v>
      </c>
      <c r="B24" t="str">
        <f>'3. Caracterización'!A151</f>
        <v>Capacidad para ser Administrado</v>
      </c>
      <c r="C24" s="24" t="str">
        <f>'3. Caracterización'!B151</f>
        <v>¿Se necesita poder crear variedades nuevas sin desarrollo adicional?</v>
      </c>
      <c r="D24">
        <f>'3. Caracterización'!G151</f>
        <v>0</v>
      </c>
      <c r="E24">
        <f>'3. Caracterización'!H151</f>
        <v>3</v>
      </c>
      <c r="F24">
        <f>'3. Caracterización'!I151</f>
        <v>0</v>
      </c>
      <c r="G24">
        <f t="shared" si="0"/>
        <v>3</v>
      </c>
    </row>
    <row r="25" spans="1:7" ht="28.5" x14ac:dyDescent="0.45">
      <c r="A25">
        <v>24</v>
      </c>
      <c r="B25" t="str">
        <f>'3. Caracterización'!A153</f>
        <v>Capacidad para ser Administrado</v>
      </c>
      <c r="C25" s="24" t="str">
        <f>'3. Caracterización'!B153</f>
        <v>¿Se necesita poder cambiar la densidad de siembra o los parámetros de cálculo sin desarrollo adicional?</v>
      </c>
      <c r="D25">
        <f>'3. Caracterización'!G153</f>
        <v>0</v>
      </c>
      <c r="E25">
        <f>'3. Caracterización'!H153</f>
        <v>3</v>
      </c>
      <c r="F25">
        <f>'3. Caracterización'!I153</f>
        <v>0</v>
      </c>
      <c r="G25">
        <f t="shared" si="0"/>
        <v>3</v>
      </c>
    </row>
    <row r="26" spans="1:7" ht="28.5" x14ac:dyDescent="0.45">
      <c r="A26">
        <v>25</v>
      </c>
      <c r="B26" t="str">
        <f>'3. Caracterización'!A158</f>
        <v>Capacidad para ser Administrado</v>
      </c>
      <c r="C26" s="24" t="str">
        <f>'3. Caracterización'!B158</f>
        <v>¿Se necesita poder actualizar la aplicación en todos los dispositivos sin recogerlos uno por uno?</v>
      </c>
      <c r="D26">
        <f>'3. Caracterización'!G158</f>
        <v>0</v>
      </c>
      <c r="E26">
        <f>'3. Caracterización'!H158</f>
        <v>0</v>
      </c>
      <c r="F26">
        <f>'3. Caracterización'!I158</f>
        <v>3</v>
      </c>
      <c r="G26">
        <f t="shared" si="0"/>
        <v>3</v>
      </c>
    </row>
    <row r="27" spans="1:7" ht="28.5" x14ac:dyDescent="0.45">
      <c r="A27">
        <v>26</v>
      </c>
      <c r="B27" t="str">
        <f>'3. Caracterización'!A167</f>
        <v>Experiencia de Usuario</v>
      </c>
      <c r="C27" s="24" t="str">
        <f>'3. Caracterización'!B167</f>
        <v>¿Se necesita reducir al mínimo la cantidad de toques necesarios para registrar una cama?</v>
      </c>
      <c r="D27">
        <f>'3. Caracterización'!G167</f>
        <v>3</v>
      </c>
      <c r="E27">
        <f>'3. Caracterización'!H167</f>
        <v>0</v>
      </c>
      <c r="F27">
        <f>'3. Caracterización'!I167</f>
        <v>0</v>
      </c>
      <c r="G27">
        <f t="shared" si="0"/>
        <v>3</v>
      </c>
    </row>
    <row r="28" spans="1:7" ht="28.5" x14ac:dyDescent="0.45">
      <c r="A28">
        <v>27</v>
      </c>
      <c r="B28" t="str">
        <f>'3. Caracterización'!A174</f>
        <v>Experiencia de Usuario</v>
      </c>
      <c r="C28" s="24" t="str">
        <f>'3. Caracterización'!B174</f>
        <v>¿Se necesita poder identificar la cama escaneando una marca física en lugar de escribir el código?</v>
      </c>
      <c r="D28">
        <f>'3. Caracterización'!G174</f>
        <v>3</v>
      </c>
      <c r="E28">
        <f>'3. Caracterización'!H174</f>
        <v>0</v>
      </c>
      <c r="F28">
        <f>'3. Caracterización'!I174</f>
        <v>0</v>
      </c>
      <c r="G28">
        <f t="shared" si="0"/>
        <v>3</v>
      </c>
    </row>
    <row r="29" spans="1:7" x14ac:dyDescent="0.45">
      <c r="A29">
        <v>28</v>
      </c>
      <c r="B29" t="str">
        <f>'3. Caracterización'!A183</f>
        <v>Seguridad</v>
      </c>
      <c r="C29" s="24" t="str">
        <f>'3. Caracterización'!B183</f>
        <v>¿Se necesita que la sesión se cierre sola después de un tiempo sin uso?</v>
      </c>
      <c r="D29">
        <f>'3. Caracterización'!G183</f>
        <v>0</v>
      </c>
      <c r="E29">
        <f>'3. Caracterización'!H183</f>
        <v>0</v>
      </c>
      <c r="F29">
        <f>'3. Caracterización'!I183</f>
        <v>3</v>
      </c>
      <c r="G29">
        <f t="shared" si="0"/>
        <v>3</v>
      </c>
    </row>
    <row r="30" spans="1:7" ht="28.5" x14ac:dyDescent="0.45">
      <c r="A30">
        <v>29</v>
      </c>
      <c r="B30" t="str">
        <f>'3. Caracterización'!A209</f>
        <v>Interoperatividad</v>
      </c>
      <c r="C30" s="24" t="str">
        <f>'3. Caracterización'!B209</f>
        <v>¿Se necesita que la información se pueda leer desde una herramienta de análisis externa?</v>
      </c>
      <c r="D30">
        <f>'3. Caracterización'!G209</f>
        <v>0</v>
      </c>
      <c r="E30">
        <f>'3. Caracterización'!H209</f>
        <v>3</v>
      </c>
      <c r="F30">
        <f>'3. Caracterización'!I209</f>
        <v>0</v>
      </c>
      <c r="G30">
        <f t="shared" si="0"/>
        <v>3</v>
      </c>
    </row>
    <row r="31" spans="1:7" x14ac:dyDescent="0.45">
      <c r="A31">
        <v>30</v>
      </c>
      <c r="B31" t="str">
        <f>'3. Caracterización'!A229</f>
        <v>Capacidad para ser Soportado</v>
      </c>
      <c r="C31" s="24" t="str">
        <f>'3. Caracterización'!B229</f>
        <v>¿Se necesita poder diagnosticar un problema sin tener que desplazarse hasta la finca?</v>
      </c>
      <c r="D31">
        <f>'3. Caracterización'!G229</f>
        <v>0</v>
      </c>
      <c r="E31">
        <f>'3. Caracterización'!H229</f>
        <v>0</v>
      </c>
      <c r="F31">
        <f>'3. Caracterización'!I229</f>
        <v>3</v>
      </c>
      <c r="G31">
        <f t="shared" si="0"/>
        <v>3</v>
      </c>
    </row>
    <row r="32" spans="1:7" x14ac:dyDescent="0.45">
      <c r="A32">
        <v>31</v>
      </c>
      <c r="B32" t="str">
        <f>'3. Caracterización'!A230</f>
        <v>Capacidad para ser Soportado</v>
      </c>
      <c r="C32" s="24" t="str">
        <f>'3. Caracterización'!B230</f>
        <v>¿Se necesita poder revisar el estado de un dispositivo de forma remota?</v>
      </c>
      <c r="D32">
        <f>'3. Caracterización'!G230</f>
        <v>0</v>
      </c>
      <c r="E32">
        <f>'3. Caracterización'!H230</f>
        <v>0</v>
      </c>
      <c r="F32">
        <f>'3. Caracterización'!I230</f>
        <v>3</v>
      </c>
      <c r="G32">
        <f t="shared" si="0"/>
        <v>3</v>
      </c>
    </row>
    <row r="33" spans="1:7" x14ac:dyDescent="0.45">
      <c r="A33">
        <v>32</v>
      </c>
      <c r="B33" t="str">
        <f>'3. Caracterización'!A237</f>
        <v>Portabilidad</v>
      </c>
      <c r="C33" s="24" t="str">
        <f>'3. Caracterización'!B237</f>
        <v>¿Se necesita que la aplicación de captura funcione en dispositivos Android?</v>
      </c>
      <c r="D33">
        <f>'3. Caracterización'!G237</f>
        <v>3</v>
      </c>
      <c r="E33">
        <f>'3. Caracterización'!H237</f>
        <v>0</v>
      </c>
      <c r="F33">
        <f>'3. Caracterización'!I237</f>
        <v>0</v>
      </c>
      <c r="G33">
        <f t="shared" si="0"/>
        <v>3</v>
      </c>
    </row>
    <row r="34" spans="1:7" ht="28.5" x14ac:dyDescent="0.45">
      <c r="A34">
        <v>33</v>
      </c>
      <c r="B34" t="str">
        <f>'3. Caracterización'!A7</f>
        <v>Confiabilidad</v>
      </c>
      <c r="C34" s="24" t="str">
        <f>'3. Caracterización'!B7</f>
        <v>¿Se necesita verificar que la información sea correcta de manera que se agrupe la información por finca y por jornada completa?</v>
      </c>
      <c r="D34">
        <f>'3. Caracterización'!G7</f>
        <v>0</v>
      </c>
      <c r="E34">
        <f>'3. Caracterización'!H7</f>
        <v>2</v>
      </c>
      <c r="F34">
        <f>'3. Caracterización'!I7</f>
        <v>0</v>
      </c>
      <c r="G34">
        <f t="shared" ref="G34:G65" si="1">SUM(D34:F34)</f>
        <v>2</v>
      </c>
    </row>
    <row r="35" spans="1:7" ht="28.5" x14ac:dyDescent="0.45">
      <c r="A35">
        <v>34</v>
      </c>
      <c r="B35" t="str">
        <f>'3. Caracterización'!A16</f>
        <v>Confiabilidad</v>
      </c>
      <c r="C35" s="24" t="str">
        <f>'3. Caracterización'!B16</f>
        <v>¿Se necesita que el sistema avise cuando se intenta capturar dos veces la misma cama el mismo día?</v>
      </c>
      <c r="D35">
        <f>'3. Caracterización'!G16</f>
        <v>2</v>
      </c>
      <c r="E35">
        <f>'3. Caracterización'!H16</f>
        <v>0</v>
      </c>
      <c r="F35">
        <f>'3. Caracterización'!I16</f>
        <v>0</v>
      </c>
      <c r="G35">
        <f t="shared" si="1"/>
        <v>2</v>
      </c>
    </row>
    <row r="36" spans="1:7" ht="28.5" x14ac:dyDescent="0.45">
      <c r="A36">
        <v>35</v>
      </c>
      <c r="B36" t="str">
        <f>'3. Caracterización'!A58</f>
        <v>Confiabilidad</v>
      </c>
      <c r="C36" s="24" t="str">
        <f>'3. Caracterización'!B58</f>
        <v>¿Se necesita que la aplicación avise cuando el almacenamiento del dispositivo está por llenarse?</v>
      </c>
      <c r="D36">
        <f>'3. Caracterización'!G58</f>
        <v>2</v>
      </c>
      <c r="E36">
        <f>'3. Caracterización'!H58</f>
        <v>0</v>
      </c>
      <c r="F36">
        <f>'3. Caracterización'!I58</f>
        <v>0</v>
      </c>
      <c r="G36">
        <f t="shared" si="1"/>
        <v>2</v>
      </c>
    </row>
    <row r="37" spans="1:7" x14ac:dyDescent="0.45">
      <c r="A37">
        <v>36</v>
      </c>
      <c r="B37" t="str">
        <f>'3. Caracterización'!A84</f>
        <v>Rendimiento</v>
      </c>
      <c r="C37" s="24" t="str">
        <f>'3. Caracterización'!B84</f>
        <v>¿Se necesita que cada dato quede guardado de inmediato, sin espera perceptible?</v>
      </c>
      <c r="D37">
        <f>'3. Caracterización'!G84</f>
        <v>2</v>
      </c>
      <c r="E37">
        <f>'3. Caracterización'!H84</f>
        <v>0</v>
      </c>
      <c r="F37">
        <f>'3. Caracterización'!I84</f>
        <v>0</v>
      </c>
      <c r="G37">
        <f t="shared" si="1"/>
        <v>2</v>
      </c>
    </row>
    <row r="38" spans="1:7" x14ac:dyDescent="0.45">
      <c r="A38">
        <v>37</v>
      </c>
      <c r="B38" t="str">
        <f>'3. Caracterización'!A85</f>
        <v>Rendimiento</v>
      </c>
      <c r="C38" s="24" t="str">
        <f>'3. Caracterización'!B85</f>
        <v>¿Se necesita que el paso de una pantalla a la siguiente sea inmediato aun sin conexión?</v>
      </c>
      <c r="D38">
        <f>'3. Caracterización'!G85</f>
        <v>2</v>
      </c>
      <c r="E38">
        <f>'3. Caracterización'!H85</f>
        <v>0</v>
      </c>
      <c r="F38">
        <f>'3. Caracterización'!I85</f>
        <v>0</v>
      </c>
      <c r="G38">
        <f t="shared" si="1"/>
        <v>2</v>
      </c>
    </row>
    <row r="39" spans="1:7" ht="28.5" x14ac:dyDescent="0.45">
      <c r="A39">
        <v>38</v>
      </c>
      <c r="B39" t="str">
        <f>'3. Caracterización'!A89</f>
        <v>Rendimiento</v>
      </c>
      <c r="C39" s="24" t="str">
        <f>'3. Caracterización'!B89</f>
        <v>¿Se necesita que muchos dispositivos puedan sincronizar al mismo tiempo al terminar la jornada sin que el sistema se degrade?</v>
      </c>
      <c r="D39">
        <f>'3. Caracterización'!G89</f>
        <v>1</v>
      </c>
      <c r="E39">
        <f>'3. Caracterización'!H89</f>
        <v>0</v>
      </c>
      <c r="F39">
        <f>'3. Caracterización'!I89</f>
        <v>1</v>
      </c>
      <c r="G39">
        <f t="shared" si="1"/>
        <v>2</v>
      </c>
    </row>
    <row r="40" spans="1:7" ht="28.5" x14ac:dyDescent="0.45">
      <c r="A40">
        <v>39</v>
      </c>
      <c r="B40" t="str">
        <f>'3. Caracterización'!A110</f>
        <v>Capacidad para ser Auditado</v>
      </c>
      <c r="C40" s="24" t="str">
        <f>'3. Caracterización'!B110</f>
        <v>¿Se necesita poder llegar, desde una cifra de un reporte, hasta los datos individuales que la componen?</v>
      </c>
      <c r="D40">
        <f>'3. Caracterización'!G110</f>
        <v>0</v>
      </c>
      <c r="E40">
        <f>'3. Caracterización'!H110</f>
        <v>2</v>
      </c>
      <c r="F40">
        <f>'3. Caracterización'!I110</f>
        <v>0</v>
      </c>
      <c r="G40">
        <f t="shared" si="1"/>
        <v>2</v>
      </c>
    </row>
    <row r="41" spans="1:7" x14ac:dyDescent="0.45">
      <c r="A41">
        <v>40</v>
      </c>
      <c r="B41" t="str">
        <f>'3. Caracterización'!A112</f>
        <v>Capacidad para ser Auditado</v>
      </c>
      <c r="C41" s="24" t="str">
        <f>'3. Caracterización'!B112</f>
        <v>¿Se necesita que el registro de lo ocurrido no pueda ser alterado ni borrado por nadie?</v>
      </c>
      <c r="D41">
        <f>'3. Caracterización'!G112</f>
        <v>0</v>
      </c>
      <c r="E41">
        <f>'3. Caracterización'!H112</f>
        <v>0</v>
      </c>
      <c r="F41">
        <f>'3. Caracterización'!I112</f>
        <v>2</v>
      </c>
      <c r="G41">
        <f t="shared" si="1"/>
        <v>2</v>
      </c>
    </row>
    <row r="42" spans="1:7" x14ac:dyDescent="0.45">
      <c r="A42">
        <v>41</v>
      </c>
      <c r="B42" t="str">
        <f>'3. Caracterización'!A136</f>
        <v>Capacidad</v>
      </c>
      <c r="C42" s="24" t="str">
        <f>'3. Caracterización'!B136</f>
        <v>¿Se necesita conservar en línea la información de los últimos cinco años?</v>
      </c>
      <c r="D42">
        <f>'3. Caracterización'!G136</f>
        <v>0</v>
      </c>
      <c r="E42">
        <f>'3. Caracterización'!H136</f>
        <v>2</v>
      </c>
      <c r="F42">
        <f>'3. Caracterización'!I136</f>
        <v>0</v>
      </c>
      <c r="G42">
        <f t="shared" si="1"/>
        <v>2</v>
      </c>
    </row>
    <row r="43" spans="1:7" x14ac:dyDescent="0.45">
      <c r="A43">
        <v>42</v>
      </c>
      <c r="B43" t="str">
        <f>'3. Caracterización'!A139</f>
        <v>Capacidad</v>
      </c>
      <c r="C43" s="24" t="str">
        <f>'3. Caracterización'!B139</f>
        <v>¿Se aceptaría que la información de más de cierta antigüedad tarde más en consultarse?</v>
      </c>
      <c r="D43">
        <f>'3. Caracterización'!G139</f>
        <v>0</v>
      </c>
      <c r="E43">
        <f>'3. Caracterización'!H139</f>
        <v>2</v>
      </c>
      <c r="F43">
        <f>'3. Caracterización'!I139</f>
        <v>0</v>
      </c>
      <c r="G43">
        <f t="shared" si="1"/>
        <v>2</v>
      </c>
    </row>
    <row r="44" spans="1:7" ht="28.5" x14ac:dyDescent="0.45">
      <c r="A44">
        <v>43</v>
      </c>
      <c r="B44" t="str">
        <f>'3. Caracterización'!A146</f>
        <v>Capacidad</v>
      </c>
      <c r="C44" s="24" t="str">
        <f>'3. Caracterización'!B146</f>
        <v>¿Se necesita que el costo de almacenamiento por finca se mantenga acotado a medida que crece la historia?</v>
      </c>
      <c r="D44">
        <f>'3. Caracterización'!G146</f>
        <v>0</v>
      </c>
      <c r="E44">
        <f>'3. Caracterización'!H146</f>
        <v>1</v>
      </c>
      <c r="F44">
        <f>'3. Caracterización'!I146</f>
        <v>1</v>
      </c>
      <c r="G44">
        <f t="shared" si="1"/>
        <v>2</v>
      </c>
    </row>
    <row r="45" spans="1:7" ht="28.5" x14ac:dyDescent="0.45">
      <c r="A45">
        <v>44</v>
      </c>
      <c r="B45" t="str">
        <f>'3. Caracterización'!A152</f>
        <v>Capacidad para ser Administrado</v>
      </c>
      <c r="C45" s="24" t="str">
        <f>'3. Caracterización'!B152</f>
        <v>¿Se necesita poder cambiar los grados de calidad y sus definiciones sin desarrollo adicional?</v>
      </c>
      <c r="D45">
        <f>'3. Caracterización'!G152</f>
        <v>0</v>
      </c>
      <c r="E45">
        <f>'3. Caracterización'!H152</f>
        <v>2</v>
      </c>
      <c r="F45">
        <f>'3. Caracterización'!I152</f>
        <v>0</v>
      </c>
      <c r="G45">
        <f t="shared" si="1"/>
        <v>2</v>
      </c>
    </row>
    <row r="46" spans="1:7" x14ac:dyDescent="0.45">
      <c r="A46">
        <v>45</v>
      </c>
      <c r="B46" t="str">
        <f>'3. Caracterización'!A154</f>
        <v>Capacidad para ser Administrado</v>
      </c>
      <c r="C46" s="24" t="str">
        <f>'3. Caracterización'!B154</f>
        <v>¿Se necesita que un cambio de parámetros no altere las proyecciones ya emitidas?</v>
      </c>
      <c r="D46">
        <f>'3. Caracterización'!G154</f>
        <v>0</v>
      </c>
      <c r="E46">
        <f>'3. Caracterización'!H154</f>
        <v>2</v>
      </c>
      <c r="F46">
        <f>'3. Caracterización'!I154</f>
        <v>0</v>
      </c>
      <c r="G46">
        <f t="shared" si="1"/>
        <v>2</v>
      </c>
    </row>
    <row r="47" spans="1:7" x14ac:dyDescent="0.45">
      <c r="A47">
        <v>46</v>
      </c>
      <c r="B47" t="str">
        <f>'3. Caracterización'!A157</f>
        <v>Capacidad para ser Administrado</v>
      </c>
      <c r="C47" s="24" t="str">
        <f>'3. Caracterización'!B157</f>
        <v>¿Se necesita poder forzar la sincronización de un dispositivo de manera remota?</v>
      </c>
      <c r="D47">
        <f>'3. Caracterización'!G157</f>
        <v>0</v>
      </c>
      <c r="E47">
        <f>'3. Caracterización'!H157</f>
        <v>0</v>
      </c>
      <c r="F47">
        <f>'3. Caracterización'!I157</f>
        <v>2</v>
      </c>
      <c r="G47">
        <f t="shared" si="1"/>
        <v>2</v>
      </c>
    </row>
    <row r="48" spans="1:7" ht="28.5" x14ac:dyDescent="0.45">
      <c r="A48">
        <v>47</v>
      </c>
      <c r="B48" t="str">
        <f>'3. Caracterización'!A170</f>
        <v>Experiencia de Usuario</v>
      </c>
      <c r="C48" s="24" t="str">
        <f>'3. Caracterización'!B170</f>
        <v>¿Se necesita que la aplicación indique con claridad qué información ya se sincronizó y cuál no?</v>
      </c>
      <c r="D48">
        <f>'3. Caracterización'!G170</f>
        <v>2</v>
      </c>
      <c r="E48">
        <f>'3. Caracterización'!H170</f>
        <v>0</v>
      </c>
      <c r="F48">
        <f>'3. Caracterización'!I170</f>
        <v>0</v>
      </c>
      <c r="G48">
        <f t="shared" si="1"/>
        <v>2</v>
      </c>
    </row>
    <row r="49" spans="1:7" ht="28.5" x14ac:dyDescent="0.45">
      <c r="A49">
        <v>48</v>
      </c>
      <c r="B49" t="str">
        <f>'3. Caracterización'!A171</f>
        <v>Experiencia de Usuario</v>
      </c>
      <c r="C49" s="24" t="str">
        <f>'3. Caracterización'!B171</f>
        <v>¿Se necesita que los nombres que aparecen en pantalla sean exactamente los que se usan hablando en la finca?</v>
      </c>
      <c r="D49">
        <f>'3. Caracterización'!G171</f>
        <v>2</v>
      </c>
      <c r="E49">
        <f>'3. Caracterización'!H171</f>
        <v>0</v>
      </c>
      <c r="F49">
        <f>'3. Caracterización'!I171</f>
        <v>0</v>
      </c>
      <c r="G49">
        <f t="shared" si="1"/>
        <v>2</v>
      </c>
    </row>
    <row r="50" spans="1:7" ht="28.5" x14ac:dyDescent="0.45">
      <c r="A50">
        <v>49</v>
      </c>
      <c r="B50" t="str">
        <f>'3. Caracterización'!A181</f>
        <v>Seguridad</v>
      </c>
      <c r="C50" s="24" t="str">
        <f>'3. Caracterización'!B181</f>
        <v>¿Se necesita que cada persona entre al sistema con una identificación propia y no compartida?</v>
      </c>
      <c r="D50">
        <f>'3. Caracterización'!G181</f>
        <v>0</v>
      </c>
      <c r="E50">
        <f>'3. Caracterización'!H181</f>
        <v>0</v>
      </c>
      <c r="F50">
        <f>'3. Caracterización'!I181</f>
        <v>2</v>
      </c>
      <c r="G50">
        <f t="shared" si="1"/>
        <v>2</v>
      </c>
    </row>
    <row r="51" spans="1:7" ht="28.5" x14ac:dyDescent="0.45">
      <c r="A51">
        <v>50</v>
      </c>
      <c r="B51" t="str">
        <f>'3. Caracterización'!A188</f>
        <v>Seguridad</v>
      </c>
      <c r="C51" s="24" t="str">
        <f>'3. Caracterización'!B188</f>
        <v>¿Se necesita que quien opera la plataforma no pueda leer la información de producción de la empresa?</v>
      </c>
      <c r="D51">
        <f>'3. Caracterización'!G188</f>
        <v>0</v>
      </c>
      <c r="E51">
        <f>'3. Caracterización'!H188</f>
        <v>0</v>
      </c>
      <c r="F51">
        <f>'3. Caracterización'!I188</f>
        <v>2</v>
      </c>
      <c r="G51">
        <f t="shared" si="1"/>
        <v>2</v>
      </c>
    </row>
    <row r="52" spans="1:7" x14ac:dyDescent="0.45">
      <c r="A52">
        <v>51</v>
      </c>
      <c r="B52" t="str">
        <f>'3. Caracterización'!A200</f>
        <v>Interoperatividad</v>
      </c>
      <c r="C52" s="24" t="str">
        <f>'3. Caracterización'!B200</f>
        <v>¿Se necesita poder exportar la información a Excel?</v>
      </c>
      <c r="D52">
        <f>'3. Caracterización'!G200</f>
        <v>0</v>
      </c>
      <c r="E52">
        <f>'3. Caracterización'!H200</f>
        <v>2</v>
      </c>
      <c r="F52">
        <f>'3. Caracterización'!I200</f>
        <v>0</v>
      </c>
      <c r="G52">
        <f t="shared" si="1"/>
        <v>2</v>
      </c>
    </row>
    <row r="53" spans="1:7" x14ac:dyDescent="0.45">
      <c r="A53">
        <v>52</v>
      </c>
      <c r="B53" t="str">
        <f>'3. Caracterización'!A215</f>
        <v>Escalabilidad</v>
      </c>
      <c r="C53" s="24" t="str">
        <f>'3. Caracterización'!B215</f>
        <v>¿Se necesita poder agregar una finca nueva sin volver a instalar ni reconfigurar todo?</v>
      </c>
      <c r="D53">
        <f>'3. Caracterización'!G215</f>
        <v>0</v>
      </c>
      <c r="E53">
        <f>'3. Caracterización'!H215</f>
        <v>0</v>
      </c>
      <c r="F53">
        <f>'3. Caracterización'!I215</f>
        <v>2</v>
      </c>
      <c r="G53">
        <f t="shared" si="1"/>
        <v>2</v>
      </c>
    </row>
    <row r="54" spans="1:7" ht="28.5" x14ac:dyDescent="0.45">
      <c r="A54">
        <v>53</v>
      </c>
      <c r="B54" t="str">
        <f>'3. Caracterización'!A224</f>
        <v>Capacidad para ser Soportado</v>
      </c>
      <c r="C54" s="24" t="str">
        <f>'3. Caracterización'!B224</f>
        <v>¿Se necesita que exista alguien dentro de la finca capaz de resolver los problemas del día a día?</v>
      </c>
      <c r="D54">
        <f>'3. Caracterización'!G224</f>
        <v>0</v>
      </c>
      <c r="E54">
        <f>'3. Caracterización'!H224</f>
        <v>0</v>
      </c>
      <c r="F54">
        <f>'3. Caracterización'!I224</f>
        <v>2</v>
      </c>
      <c r="G54">
        <f t="shared" si="1"/>
        <v>2</v>
      </c>
    </row>
    <row r="55" spans="1:7" ht="28.5" x14ac:dyDescent="0.45">
      <c r="A55">
        <v>54</v>
      </c>
      <c r="B55" t="str">
        <f>'3. Caracterización'!A242</f>
        <v>Portabilidad</v>
      </c>
      <c r="C55" s="24" t="str">
        <f>'3. Caracterización'!B242</f>
        <v>¿Se necesita poder cambiar de dispositivo conservando la información que aún no se ha sincronizado?</v>
      </c>
      <c r="D55">
        <f>'3. Caracterización'!G242</f>
        <v>2</v>
      </c>
      <c r="E55">
        <f>'3. Caracterización'!H242</f>
        <v>0</v>
      </c>
      <c r="F55">
        <f>'3. Caracterización'!I242</f>
        <v>0</v>
      </c>
      <c r="G55">
        <f t="shared" si="1"/>
        <v>2</v>
      </c>
    </row>
    <row r="56" spans="1:7" ht="28.5" x14ac:dyDescent="0.45">
      <c r="A56">
        <v>55</v>
      </c>
      <c r="B56" t="str">
        <f>'3. Caracterización'!A10</f>
        <v>Confiabilidad</v>
      </c>
      <c r="C56" s="24" t="str">
        <f>'3. Caracterización'!B10</f>
        <v>¿Se necesita que el sistema permita guardar una captura incompleta y marcarla como pendiente?</v>
      </c>
      <c r="D56">
        <f>'3. Caracterización'!G10</f>
        <v>0</v>
      </c>
      <c r="E56">
        <f>'3. Caracterización'!H10</f>
        <v>1</v>
      </c>
      <c r="F56">
        <f>'3. Caracterización'!I10</f>
        <v>0</v>
      </c>
      <c r="G56">
        <f t="shared" si="1"/>
        <v>1</v>
      </c>
    </row>
    <row r="57" spans="1:7" x14ac:dyDescent="0.45">
      <c r="A57">
        <v>56</v>
      </c>
      <c r="B57" t="str">
        <f>'3. Caracterización'!A13</f>
        <v>Confiabilidad</v>
      </c>
      <c r="C57" s="24" t="str">
        <f>'3. Caracterización'!B13</f>
        <v>¿Se necesita que el sistema muestre siempre el motivo por el cual rechazó un dato?</v>
      </c>
      <c r="D57">
        <f>'3. Caracterización'!G13</f>
        <v>0</v>
      </c>
      <c r="E57">
        <f>'3. Caracterización'!H13</f>
        <v>1</v>
      </c>
      <c r="F57">
        <f>'3. Caracterización'!I13</f>
        <v>0</v>
      </c>
      <c r="G57">
        <f t="shared" si="1"/>
        <v>1</v>
      </c>
    </row>
    <row r="58" spans="1:7" ht="28.5" x14ac:dyDescent="0.45">
      <c r="A58">
        <v>57</v>
      </c>
      <c r="B58" t="str">
        <f>'3. Caracterización'!A15</f>
        <v>Confiabilidad</v>
      </c>
      <c r="C58" s="24" t="str">
        <f>'3. Caracterización'!B15</f>
        <v>¿Se necesita que las reglas de validación funcionen igual estando sin conexión que estando conectado?</v>
      </c>
      <c r="D58">
        <f>'3. Caracterización'!G15</f>
        <v>1</v>
      </c>
      <c r="E58">
        <f>'3. Caracterización'!H15</f>
        <v>0</v>
      </c>
      <c r="F58">
        <f>'3. Caracterización'!I15</f>
        <v>0</v>
      </c>
      <c r="G58">
        <f t="shared" si="1"/>
        <v>1</v>
      </c>
    </row>
    <row r="59" spans="1:7" x14ac:dyDescent="0.45">
      <c r="A59">
        <v>58</v>
      </c>
      <c r="B59" t="str">
        <f>'3. Caracterización'!A28</f>
        <v>Confiabilidad</v>
      </c>
      <c r="C59" s="24" t="str">
        <f>'3. Caracterización'!B28</f>
        <v>¿Se necesita poder corregir un dato después de que se sincronizó?</v>
      </c>
      <c r="D59">
        <f>'3. Caracterización'!G28</f>
        <v>0</v>
      </c>
      <c r="E59">
        <f>'3. Caracterización'!H28</f>
        <v>0</v>
      </c>
      <c r="F59">
        <f>'3. Caracterización'!I28</f>
        <v>1</v>
      </c>
      <c r="G59">
        <f t="shared" si="1"/>
        <v>1</v>
      </c>
    </row>
    <row r="60" spans="1:7" x14ac:dyDescent="0.45">
      <c r="A60">
        <v>59</v>
      </c>
      <c r="B60" t="str">
        <f>'3. Caracterización'!A66</f>
        <v>Disponibilidad</v>
      </c>
      <c r="C60" s="24" t="str">
        <f>'3. Caracterización'!B66</f>
        <v>¿Se necesita que la captura siga funcionando aunque el servicio en la nube esté caído?</v>
      </c>
      <c r="D60">
        <f>'3. Caracterización'!G66</f>
        <v>1</v>
      </c>
      <c r="E60">
        <f>'3. Caracterización'!H66</f>
        <v>0</v>
      </c>
      <c r="F60">
        <f>'3. Caracterización'!I66</f>
        <v>0</v>
      </c>
      <c r="G60">
        <f t="shared" si="1"/>
        <v>1</v>
      </c>
    </row>
    <row r="61" spans="1:7" ht="28.5" x14ac:dyDescent="0.45">
      <c r="A61">
        <v>60</v>
      </c>
      <c r="B61" t="str">
        <f>'3. Caracterización'!A91</f>
        <v>Rendimiento</v>
      </c>
      <c r="C61" s="24" t="str">
        <f>'3. Caracterización'!B91</f>
        <v>¿Se necesita que la información sincronizada se vea reflejada en la consulta web dentro de la misma hora?</v>
      </c>
      <c r="D61">
        <f>'3. Caracterización'!G91</f>
        <v>0</v>
      </c>
      <c r="E61">
        <f>'3. Caracterización'!H91</f>
        <v>1</v>
      </c>
      <c r="F61">
        <f>'3. Caracterización'!I91</f>
        <v>0</v>
      </c>
      <c r="G61">
        <f t="shared" si="1"/>
        <v>1</v>
      </c>
    </row>
    <row r="62" spans="1:7" ht="28.5" x14ac:dyDescent="0.45">
      <c r="A62">
        <v>61</v>
      </c>
      <c r="B62" t="str">
        <f>'3. Caracterización'!A99</f>
        <v>Rendimiento</v>
      </c>
      <c r="C62" s="24" t="str">
        <f>'3. Caracterización'!B99</f>
        <v>¿Se necesita que el rendimiento se mantenga igual en temporada alta que en el resto del año?</v>
      </c>
      <c r="D62">
        <f>'3. Caracterización'!G99</f>
        <v>0</v>
      </c>
      <c r="E62">
        <f>'3. Caracterización'!H99</f>
        <v>1</v>
      </c>
      <c r="F62">
        <f>'3. Caracterización'!I99</f>
        <v>0</v>
      </c>
      <c r="G62">
        <f t="shared" si="1"/>
        <v>1</v>
      </c>
    </row>
    <row r="63" spans="1:7" x14ac:dyDescent="0.45">
      <c r="A63">
        <v>62</v>
      </c>
      <c r="B63" t="str">
        <f>'3. Caracterización'!A108</f>
        <v>Capacidad para ser Auditado</v>
      </c>
      <c r="C63" s="24" t="str">
        <f>'3. Caracterización'!B108</f>
        <v>¿Se necesita poder ver la historia completa de un lote a través de varias camas?</v>
      </c>
      <c r="D63">
        <f>'3. Caracterización'!G108</f>
        <v>0</v>
      </c>
      <c r="E63">
        <f>'3. Caracterización'!H108</f>
        <v>1</v>
      </c>
      <c r="F63">
        <f>'3. Caracterización'!I108</f>
        <v>0</v>
      </c>
      <c r="G63">
        <f t="shared" si="1"/>
        <v>1</v>
      </c>
    </row>
    <row r="64" spans="1:7" ht="28.5" x14ac:dyDescent="0.45">
      <c r="A64">
        <v>63</v>
      </c>
      <c r="B64" t="str">
        <f>'3. Caracterización'!A116</f>
        <v>Capacidad para ser Auditado</v>
      </c>
      <c r="C64" s="24" t="str">
        <f>'3. Caracterización'!B116</f>
        <v>¿Se necesita registrar el motivo cada vez que disminuye la cantidad de plantas o de tallos esperados?</v>
      </c>
      <c r="D64">
        <f>'3. Caracterización'!G116</f>
        <v>0</v>
      </c>
      <c r="E64">
        <f>'3. Caracterización'!H116</f>
        <v>1</v>
      </c>
      <c r="F64">
        <f>'3. Caracterización'!I116</f>
        <v>0</v>
      </c>
      <c r="G64">
        <f t="shared" si="1"/>
        <v>1</v>
      </c>
    </row>
    <row r="65" spans="1:7" x14ac:dyDescent="0.45">
      <c r="A65">
        <v>64</v>
      </c>
      <c r="B65" t="str">
        <f>'3. Caracterización'!A133</f>
        <v>Capacidad</v>
      </c>
      <c r="C65" s="24" t="str">
        <f>'3. Caracterización'!B133</f>
        <v>¿Se necesita que el sistema soporte varias fincas de la misma empresa?</v>
      </c>
      <c r="D65">
        <f>'3. Caracterización'!G133</f>
        <v>0</v>
      </c>
      <c r="E65">
        <f>'3. Caracterización'!H133</f>
        <v>1</v>
      </c>
      <c r="F65">
        <f>'3. Caracterización'!I133</f>
        <v>0</v>
      </c>
      <c r="G65">
        <f t="shared" si="1"/>
        <v>1</v>
      </c>
    </row>
    <row r="66" spans="1:7" ht="28.5" x14ac:dyDescent="0.45">
      <c r="A66">
        <v>65</v>
      </c>
      <c r="B66" t="str">
        <f>'3. Caracterización'!A144</f>
        <v>Capacidad</v>
      </c>
      <c r="C66" s="24" t="str">
        <f>'3. Caracterización'!B144</f>
        <v>¿Se necesita que el dispositivo tenga descargado todo el catálogo de la finca antes de salir a capturar?</v>
      </c>
      <c r="D66">
        <f>'3. Caracterización'!G144</f>
        <v>0</v>
      </c>
      <c r="E66">
        <f>'3. Caracterización'!H144</f>
        <v>0</v>
      </c>
      <c r="F66">
        <f>'3. Caracterización'!I144</f>
        <v>1</v>
      </c>
      <c r="G66">
        <f t="shared" ref="G66" si="2">SUM(D66:F66)</f>
        <v>1</v>
      </c>
    </row>
    <row r="68" spans="1:7" ht="70.05" customHeight="1" x14ac:dyDescent="0.45">
      <c r="A68" s="32" t="s">
        <v>327</v>
      </c>
      <c r="B68" s="33"/>
      <c r="C68" s="33"/>
      <c r="D68" s="33"/>
      <c r="E68" s="33"/>
      <c r="F68" s="33"/>
      <c r="G68" s="33"/>
    </row>
  </sheetData>
  <mergeCells count="1">
    <mergeCell ref="A68:G6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1. Trade-Off-QA</vt:lpstr>
      <vt:lpstr>2. Priorización-QA</vt:lpstr>
      <vt:lpstr>3. Caracterización</vt:lpstr>
      <vt:lpstr>4, Lluvia-de-Escenarios</vt:lpstr>
      <vt:lpstr>Top 65 - Priorizadas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Pablo Avendano Duque</dc:creator>
  <cp:lastModifiedBy>jeronimo montoya londoño</cp:lastModifiedBy>
  <dcterms:created xsi:type="dcterms:W3CDTF">2026-08-04T17:31:19Z</dcterms:created>
  <dcterms:modified xsi:type="dcterms:W3CDTF">2026-08-29T19:09:53Z</dcterms:modified>
</cp:coreProperties>
</file>