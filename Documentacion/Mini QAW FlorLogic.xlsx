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onimo\Downloads\"/>
    </mc:Choice>
  </mc:AlternateContent>
  <xr:revisionPtr revIDLastSave="0" documentId="8_{8BB49EDA-BF05-4A49-97F8-A1A78E455819}" xr6:coauthVersionLast="47" xr6:coauthVersionMax="47" xr10:uidLastSave="{00000000-0000-0000-0000-000000000000}"/>
  <bookViews>
    <workbookView xWindow="28690" yWindow="-110" windowWidth="19420" windowHeight="10300" activeTab="2" xr2:uid="{00000000-000D-0000-FFFF-FFFF00000000}"/>
  </bookViews>
  <sheets>
    <sheet name="1. Trade-Off-QA" sheetId="1" r:id="rId1"/>
    <sheet name="2. Priorización-QA" sheetId="2" r:id="rId2"/>
    <sheet name="3. Caracterización" sheetId="3" r:id="rId3"/>
    <sheet name="4, Lluvia-de-Escenarios" sheetId="4" r:id="rId4"/>
    <sheet name="Top 65 - Priorizad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5" l="1"/>
  <c r="E66" i="5"/>
  <c r="D66" i="5"/>
  <c r="G66" i="5" s="1"/>
  <c r="C66" i="5"/>
  <c r="B66" i="5"/>
  <c r="F65" i="5"/>
  <c r="E65" i="5"/>
  <c r="D65" i="5"/>
  <c r="G65" i="5" s="1"/>
  <c r="C65" i="5"/>
  <c r="B65" i="5"/>
  <c r="F64" i="5"/>
  <c r="E64" i="5"/>
  <c r="D64" i="5"/>
  <c r="G64" i="5" s="1"/>
  <c r="C64" i="5"/>
  <c r="B64" i="5"/>
  <c r="F63" i="5"/>
  <c r="E63" i="5"/>
  <c r="D63" i="5"/>
  <c r="G63" i="5" s="1"/>
  <c r="C63" i="5"/>
  <c r="B63" i="5"/>
  <c r="F62" i="5"/>
  <c r="E62" i="5"/>
  <c r="D62" i="5"/>
  <c r="G62" i="5" s="1"/>
  <c r="C62" i="5"/>
  <c r="B62" i="5"/>
  <c r="F61" i="5"/>
  <c r="E61" i="5"/>
  <c r="D61" i="5"/>
  <c r="G61" i="5" s="1"/>
  <c r="C61" i="5"/>
  <c r="B61" i="5"/>
  <c r="F60" i="5"/>
  <c r="E60" i="5"/>
  <c r="D60" i="5"/>
  <c r="G60" i="5" s="1"/>
  <c r="C60" i="5"/>
  <c r="B60" i="5"/>
  <c r="F59" i="5"/>
  <c r="E59" i="5"/>
  <c r="D59" i="5"/>
  <c r="G59" i="5" s="1"/>
  <c r="C59" i="5"/>
  <c r="B59" i="5"/>
  <c r="F58" i="5"/>
  <c r="E58" i="5"/>
  <c r="D58" i="5"/>
  <c r="G58" i="5" s="1"/>
  <c r="C58" i="5"/>
  <c r="B58" i="5"/>
  <c r="G57" i="5"/>
  <c r="F57" i="5"/>
  <c r="E57" i="5"/>
  <c r="D57" i="5"/>
  <c r="C57" i="5"/>
  <c r="B57" i="5"/>
  <c r="F56" i="5"/>
  <c r="E56" i="5"/>
  <c r="D56" i="5"/>
  <c r="G56" i="5" s="1"/>
  <c r="C56" i="5"/>
  <c r="B56" i="5"/>
  <c r="F55" i="5"/>
  <c r="E55" i="5"/>
  <c r="D55" i="5"/>
  <c r="G55" i="5" s="1"/>
  <c r="C55" i="5"/>
  <c r="B55" i="5"/>
  <c r="F54" i="5"/>
  <c r="E54" i="5"/>
  <c r="D54" i="5"/>
  <c r="G54" i="5" s="1"/>
  <c r="C54" i="5"/>
  <c r="B54" i="5"/>
  <c r="F53" i="5"/>
  <c r="E53" i="5"/>
  <c r="D53" i="5"/>
  <c r="G53" i="5" s="1"/>
  <c r="C53" i="5"/>
  <c r="B53" i="5"/>
  <c r="F52" i="5"/>
  <c r="G52" i="5" s="1"/>
  <c r="E52" i="5"/>
  <c r="D52" i="5"/>
  <c r="C52" i="5"/>
  <c r="B52" i="5"/>
  <c r="F51" i="5"/>
  <c r="E51" i="5"/>
  <c r="D51" i="5"/>
  <c r="G51" i="5" s="1"/>
  <c r="C51" i="5"/>
  <c r="B51" i="5"/>
  <c r="F50" i="5"/>
  <c r="E50" i="5"/>
  <c r="D50" i="5"/>
  <c r="G50" i="5" s="1"/>
  <c r="C50" i="5"/>
  <c r="B50" i="5"/>
  <c r="G49" i="5"/>
  <c r="F49" i="5"/>
  <c r="E49" i="5"/>
  <c r="D49" i="5"/>
  <c r="C49" i="5"/>
  <c r="B49" i="5"/>
  <c r="F48" i="5"/>
  <c r="E48" i="5"/>
  <c r="D48" i="5"/>
  <c r="G48" i="5" s="1"/>
  <c r="C48" i="5"/>
  <c r="B48" i="5"/>
  <c r="F47" i="5"/>
  <c r="E47" i="5"/>
  <c r="D47" i="5"/>
  <c r="G47" i="5" s="1"/>
  <c r="C47" i="5"/>
  <c r="B47" i="5"/>
  <c r="F46" i="5"/>
  <c r="E46" i="5"/>
  <c r="D46" i="5"/>
  <c r="G46" i="5" s="1"/>
  <c r="C46" i="5"/>
  <c r="B46" i="5"/>
  <c r="F45" i="5"/>
  <c r="E45" i="5"/>
  <c r="D45" i="5"/>
  <c r="G45" i="5" s="1"/>
  <c r="C45" i="5"/>
  <c r="B45" i="5"/>
  <c r="F44" i="5"/>
  <c r="G44" i="5" s="1"/>
  <c r="E44" i="5"/>
  <c r="D44" i="5"/>
  <c r="C44" i="5"/>
  <c r="B44" i="5"/>
  <c r="F43" i="5"/>
  <c r="E43" i="5"/>
  <c r="D43" i="5"/>
  <c r="G43" i="5" s="1"/>
  <c r="C43" i="5"/>
  <c r="B43" i="5"/>
  <c r="F42" i="5"/>
  <c r="E42" i="5"/>
  <c r="D42" i="5"/>
  <c r="G42" i="5" s="1"/>
  <c r="C42" i="5"/>
  <c r="B42" i="5"/>
  <c r="G41" i="5"/>
  <c r="F41" i="5"/>
  <c r="E41" i="5"/>
  <c r="D41" i="5"/>
  <c r="C41" i="5"/>
  <c r="B41" i="5"/>
  <c r="F40" i="5"/>
  <c r="E40" i="5"/>
  <c r="D40" i="5"/>
  <c r="G40" i="5" s="1"/>
  <c r="C40" i="5"/>
  <c r="B40" i="5"/>
  <c r="F39" i="5"/>
  <c r="E39" i="5"/>
  <c r="D39" i="5"/>
  <c r="G39" i="5" s="1"/>
  <c r="C39" i="5"/>
  <c r="B39" i="5"/>
  <c r="F38" i="5"/>
  <c r="E38" i="5"/>
  <c r="D38" i="5"/>
  <c r="G38" i="5" s="1"/>
  <c r="C38" i="5"/>
  <c r="B38" i="5"/>
  <c r="F37" i="5"/>
  <c r="E37" i="5"/>
  <c r="D37" i="5"/>
  <c r="G37" i="5" s="1"/>
  <c r="C37" i="5"/>
  <c r="B37" i="5"/>
  <c r="F36" i="5"/>
  <c r="G36" i="5" s="1"/>
  <c r="E36" i="5"/>
  <c r="D36" i="5"/>
  <c r="C36" i="5"/>
  <c r="B36" i="5"/>
  <c r="F35" i="5"/>
  <c r="E35" i="5"/>
  <c r="D35" i="5"/>
  <c r="G35" i="5" s="1"/>
  <c r="C35" i="5"/>
  <c r="B35" i="5"/>
  <c r="F34" i="5"/>
  <c r="E34" i="5"/>
  <c r="D34" i="5"/>
  <c r="G34" i="5" s="1"/>
  <c r="C34" i="5"/>
  <c r="B34" i="5"/>
  <c r="G33" i="5"/>
  <c r="F33" i="5"/>
  <c r="E33" i="5"/>
  <c r="D33" i="5"/>
  <c r="C33" i="5"/>
  <c r="B33" i="5"/>
  <c r="F32" i="5"/>
  <c r="E32" i="5"/>
  <c r="D32" i="5"/>
  <c r="G32" i="5" s="1"/>
  <c r="C32" i="5"/>
  <c r="B32" i="5"/>
  <c r="F31" i="5"/>
  <c r="E31" i="5"/>
  <c r="D31" i="5"/>
  <c r="G31" i="5" s="1"/>
  <c r="C31" i="5"/>
  <c r="B31" i="5"/>
  <c r="F30" i="5"/>
  <c r="E30" i="5"/>
  <c r="D30" i="5"/>
  <c r="G30" i="5" s="1"/>
  <c r="C30" i="5"/>
  <c r="B30" i="5"/>
  <c r="F29" i="5"/>
  <c r="E29" i="5"/>
  <c r="D29" i="5"/>
  <c r="G29" i="5" s="1"/>
  <c r="C29" i="5"/>
  <c r="B29" i="5"/>
  <c r="F28" i="5"/>
  <c r="G28" i="5" s="1"/>
  <c r="E28" i="5"/>
  <c r="D28" i="5"/>
  <c r="C28" i="5"/>
  <c r="B28" i="5"/>
  <c r="F27" i="5"/>
  <c r="E27" i="5"/>
  <c r="D27" i="5"/>
  <c r="G27" i="5" s="1"/>
  <c r="C27" i="5"/>
  <c r="B27" i="5"/>
  <c r="F26" i="5"/>
  <c r="E26" i="5"/>
  <c r="D26" i="5"/>
  <c r="G26" i="5" s="1"/>
  <c r="C26" i="5"/>
  <c r="B26" i="5"/>
  <c r="G25" i="5"/>
  <c r="F25" i="5"/>
  <c r="E25" i="5"/>
  <c r="D25" i="5"/>
  <c r="C25" i="5"/>
  <c r="B25" i="5"/>
  <c r="F24" i="5"/>
  <c r="E24" i="5"/>
  <c r="D24" i="5"/>
  <c r="G24" i="5" s="1"/>
  <c r="C24" i="5"/>
  <c r="B24" i="5"/>
  <c r="F23" i="5"/>
  <c r="E23" i="5"/>
  <c r="D23" i="5"/>
  <c r="G23" i="5" s="1"/>
  <c r="C23" i="5"/>
  <c r="B23" i="5"/>
  <c r="F22" i="5"/>
  <c r="E22" i="5"/>
  <c r="D22" i="5"/>
  <c r="G22" i="5" s="1"/>
  <c r="C22" i="5"/>
  <c r="B22" i="5"/>
  <c r="F21" i="5"/>
  <c r="E21" i="5"/>
  <c r="D21" i="5"/>
  <c r="G21" i="5" s="1"/>
  <c r="C21" i="5"/>
  <c r="B21" i="5"/>
  <c r="F20" i="5"/>
  <c r="G20" i="5" s="1"/>
  <c r="E20" i="5"/>
  <c r="D20" i="5"/>
  <c r="C20" i="5"/>
  <c r="B20" i="5"/>
  <c r="F19" i="5"/>
  <c r="E19" i="5"/>
  <c r="D19" i="5"/>
  <c r="G19" i="5" s="1"/>
  <c r="C19" i="5"/>
  <c r="B19" i="5"/>
  <c r="F18" i="5"/>
  <c r="E18" i="5"/>
  <c r="D18" i="5"/>
  <c r="G18" i="5" s="1"/>
  <c r="C18" i="5"/>
  <c r="B18" i="5"/>
  <c r="G17" i="5"/>
  <c r="F17" i="5"/>
  <c r="E17" i="5"/>
  <c r="D17" i="5"/>
  <c r="C17" i="5"/>
  <c r="B17" i="5"/>
  <c r="F16" i="5"/>
  <c r="E16" i="5"/>
  <c r="D16" i="5"/>
  <c r="G16" i="5" s="1"/>
  <c r="C16" i="5"/>
  <c r="B16" i="5"/>
  <c r="F15" i="5"/>
  <c r="E15" i="5"/>
  <c r="D15" i="5"/>
  <c r="G15" i="5" s="1"/>
  <c r="C15" i="5"/>
  <c r="B15" i="5"/>
  <c r="F14" i="5"/>
  <c r="E14" i="5"/>
  <c r="D14" i="5"/>
  <c r="G14" i="5" s="1"/>
  <c r="C14" i="5"/>
  <c r="B14" i="5"/>
  <c r="F13" i="5"/>
  <c r="E13" i="5"/>
  <c r="D13" i="5"/>
  <c r="G13" i="5" s="1"/>
  <c r="C13" i="5"/>
  <c r="B13" i="5"/>
  <c r="F12" i="5"/>
  <c r="G12" i="5" s="1"/>
  <c r="E12" i="5"/>
  <c r="D12" i="5"/>
  <c r="C12" i="5"/>
  <c r="B12" i="5"/>
  <c r="F11" i="5"/>
  <c r="E11" i="5"/>
  <c r="D11" i="5"/>
  <c r="G11" i="5" s="1"/>
  <c r="C11" i="5"/>
  <c r="B11" i="5"/>
  <c r="F10" i="5"/>
  <c r="E10" i="5"/>
  <c r="D10" i="5"/>
  <c r="G10" i="5" s="1"/>
  <c r="C10" i="5"/>
  <c r="B10" i="5"/>
  <c r="G9" i="5"/>
  <c r="F9" i="5"/>
  <c r="E9" i="5"/>
  <c r="D9" i="5"/>
  <c r="C9" i="5"/>
  <c r="B9" i="5"/>
  <c r="F8" i="5"/>
  <c r="E8" i="5"/>
  <c r="D8" i="5"/>
  <c r="G8" i="5" s="1"/>
  <c r="C8" i="5"/>
  <c r="B8" i="5"/>
  <c r="F7" i="5"/>
  <c r="E7" i="5"/>
  <c r="D7" i="5"/>
  <c r="G7" i="5" s="1"/>
  <c r="C7" i="5"/>
  <c r="B7" i="5"/>
  <c r="F6" i="5"/>
  <c r="E6" i="5"/>
  <c r="D6" i="5"/>
  <c r="G6" i="5" s="1"/>
  <c r="C6" i="5"/>
  <c r="B6" i="5"/>
  <c r="F5" i="5"/>
  <c r="E5" i="5"/>
  <c r="D5" i="5"/>
  <c r="G5" i="5" s="1"/>
  <c r="C5" i="5"/>
  <c r="B5" i="5"/>
  <c r="F4" i="5"/>
  <c r="G4" i="5" s="1"/>
  <c r="E4" i="5"/>
  <c r="D4" i="5"/>
  <c r="C4" i="5"/>
  <c r="B4" i="5"/>
  <c r="F3" i="5"/>
  <c r="E3" i="5"/>
  <c r="D3" i="5"/>
  <c r="G3" i="5" s="1"/>
  <c r="C3" i="5"/>
  <c r="B3" i="5"/>
  <c r="F2" i="5"/>
  <c r="E2" i="5"/>
  <c r="D2" i="5"/>
  <c r="G2" i="5" s="1"/>
  <c r="C2" i="5"/>
  <c r="B2" i="5"/>
  <c r="D16" i="2"/>
  <c r="C16" i="2"/>
  <c r="B16" i="2"/>
  <c r="E15" i="2"/>
  <c r="F15" i="2" s="1"/>
  <c r="E14" i="2"/>
  <c r="E13" i="2"/>
  <c r="E12" i="2"/>
  <c r="E11" i="2"/>
  <c r="E10" i="2"/>
  <c r="E9" i="2"/>
  <c r="E8" i="2"/>
  <c r="E7" i="2"/>
  <c r="E6" i="2"/>
  <c r="E5" i="2"/>
  <c r="F5" i="2" s="1"/>
  <c r="E4" i="2"/>
  <c r="E3" i="2"/>
  <c r="E16" i="2" s="1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F11" i="2" l="1"/>
  <c r="F10" i="2"/>
  <c r="F9" i="2"/>
  <c r="F8" i="2"/>
  <c r="F3" i="2"/>
  <c r="F4" i="2"/>
  <c r="F6" i="2"/>
  <c r="F7" i="2"/>
  <c r="F12" i="2"/>
  <c r="F13" i="2"/>
  <c r="F14" i="2"/>
  <c r="F16" i="2" l="1"/>
</calcChain>
</file>

<file path=xl/sharedStrings.xml><?xml version="1.0" encoding="utf-8"?>
<sst xmlns="http://schemas.openxmlformats.org/spreadsheetml/2006/main" count="1503" uniqueCount="328">
  <si>
    <t>Atributo de calidad</t>
  </si>
  <si>
    <t>Pregunta</t>
  </si>
  <si>
    <t>Respuesta Juan</t>
  </si>
  <si>
    <t>Respuesta Jeronimo</t>
  </si>
  <si>
    <t>Respuesta Cliente</t>
  </si>
  <si>
    <t>Nota</t>
  </si>
  <si>
    <t>Tomador de datos</t>
  </si>
  <si>
    <t>Produccion</t>
  </si>
  <si>
    <t>Administrador</t>
  </si>
  <si>
    <t>Puntaje Total</t>
  </si>
  <si>
    <t>Seleccionada (Top 65)</t>
  </si>
  <si>
    <t>Confiabilidad</t>
  </si>
  <si>
    <t>¿Se necesita verificar que la información sea correcta de manera individual con cada dato tomado?</t>
  </si>
  <si>
    <t>NO</t>
  </si>
  <si>
    <t>SI</t>
  </si>
  <si>
    <t>¿Se necesita verificar que la información sea correcta de manera que se agrupe la información por variedad?</t>
  </si>
  <si>
    <t>¿Se necesita verificar que la información sea correcta de manera que se agrupe la información por sección de la cama?</t>
  </si>
  <si>
    <t>¿Se necesita verificar que la información sea correcta de manera que se agrupe la información por cama?</t>
  </si>
  <si>
    <t>¿Se necesita verificar que la información sea correcta de manera que se agrupe la información por bloque?</t>
  </si>
  <si>
    <t>NO TAN IMPORTANTE</t>
  </si>
  <si>
    <t>¿Se necesita verificar que la información sea correcta de manera que se agrupe la información por finca y por jornada completa?</t>
  </si>
  <si>
    <t>¿Se necesita una confirmación final que muestre todo lo capturado antes de darlo por guardado?</t>
  </si>
  <si>
    <t>¿Se necesita que el sistema impida cerrar la captura de una cama si quedaron campos sin diligenciar?</t>
  </si>
  <si>
    <t>HAY CAMPOS QUE NO SON CONCORDANTES CON OTROS</t>
  </si>
  <si>
    <t>¿Se necesita que el sistema permita guardar una captura incompleta y marcarla como pendiente?</t>
  </si>
  <si>
    <t>¿Se necesita que el sistema rechace un dato cuando está fuera del rango posible (por ejemplo, más tallos que plantas sembradas)?</t>
  </si>
  <si>
    <t>¿Se necesita que el sistema advierta, sin bloquear, cuando un dato se aleja mucho de lo que se ha capturado históricamente en esa misma cama?</t>
  </si>
  <si>
    <t>¿Se necesita que el sistema muestre siempre el motivo por el cual rechazó un dato?</t>
  </si>
  <si>
    <t>¿Se necesita que los rangos y las reglas de validación se puedan cambiar sin depender de una nueva versión de la aplicación?</t>
  </si>
  <si>
    <t>¿Se necesita que las reglas de validación funcionen igual estando sin conexión que estando conectado?</t>
  </si>
  <si>
    <t>¿Se necesita que el sistema avise cuando se intenta capturar dos veces la misma cama el mismo día?</t>
  </si>
  <si>
    <t>¿Se necesita que el sistema avise cuando una cama lleva más días de lo normal sin ser capturada?</t>
  </si>
  <si>
    <t>¿Se necesita que el sistema impida registrar una labor sobre una cama que ya fue erradicada?</t>
  </si>
  <si>
    <t>DEPENDE DEL TIPO DE INGRESO DE DATO</t>
  </si>
  <si>
    <t>¿Se necesita que el sistema bloquee la captura cuando detecta que la fecha y la hora del dispositivo fueron alteradas?</t>
  </si>
  <si>
    <t>¿Se necesita realizar la captura de datos de manera progresiva y guiada pantalla por pantalla (primero se selecciona bloque, luego cama, luego se captura lote y fecha de siembra, después las variedades plantadas)?</t>
  </si>
  <si>
    <t>¿Se necesita realizar la captura de datos con una plantilla predefinida que use una estructura similar a las plantillas de papel utilizadas previamente?</t>
  </si>
  <si>
    <t>¿Se necesita que la estructura de captura sea siempre la misma para todos los bloques de la finca?</t>
  </si>
  <si>
    <t>¿Se necesita que la estructura de captura pueda cambiar según la variedad que se esté trabajando?</t>
  </si>
  <si>
    <t>PUEDEN HABER DATOS EN BLANCO</t>
  </si>
  <si>
    <t>¿Se necesita que el sistema proponga automáticamente el valor capturado la última vez para esa misma cama?</t>
  </si>
  <si>
    <t>¿Se necesita que el orden de captura siga el recorrido físico que se hace dentro del bloque?</t>
  </si>
  <si>
    <t>¿Se necesita que el sistema indique en todo momento cuántas camas faltan por capturar en la jornada?</t>
  </si>
  <si>
    <t>¿Se necesita poder corregir un dato ya capturado antes de que se sincronice?</t>
  </si>
  <si>
    <t>¿Se necesita poder corregir un dato después de que se sincronizó?</t>
  </si>
  <si>
    <t>¿Se necesita que al corregir un dato se conserve visible el valor original?</t>
  </si>
  <si>
    <t>¿Se necesita que toda corrección exija escribir un motivo?</t>
  </si>
  <si>
    <t>¿Se necesita que exista una fecha a partir de la cual la información ya no se pueda corregir?</t>
  </si>
  <si>
    <t>¿Se necesita que, cuando dos capturas de la misma cama entran en conflicto, el sistema resuelva solo tomando la más reciente?</t>
  </si>
  <si>
    <t>¿Se necesita que, cuando dos capturas de la misma cama entran en conflicto, el sistema deje ambas y pida que una persona decida?</t>
  </si>
  <si>
    <t>NO DEJA INGRESAR EL ULTIMO REGISTRO</t>
  </si>
  <si>
    <t>¿Se necesita que quien capturó el dato se entere cuando su captura fue descartada o modificada por un conflicto?</t>
  </si>
  <si>
    <t>¿Se necesita saber, sobre cada proyección, con qué datos y con qué parámetros fue calculada?</t>
  </si>
  <si>
    <t>¿Se necesita que una misma proyección, recalculada meses después, dé exactamente el mismo resultado?</t>
  </si>
  <si>
    <t>SI NO SE MODIFICA SI</t>
  </si>
  <si>
    <t>¿Se necesita que el sistema muestre cuánto se desvió la proyección anterior frente a lo que realmente se cortó?</t>
  </si>
  <si>
    <t>SOBRE LA MISMA PROYECCION</t>
  </si>
  <si>
    <t>¿Se necesita que el sistema muestre un indicador del porcentaje de datos con error o pendientes de verificación?</t>
  </si>
  <si>
    <t>¿Se necesita fijar una meta explícita de porcentaje máximo de error aceptable en la información capturada?</t>
  </si>
  <si>
    <t>NO PUEDE HABER ERRORES</t>
  </si>
  <si>
    <t>¿Se necesita que el sistema distinga la información verificada de la que todavía no lo ha sido?</t>
  </si>
  <si>
    <t>¿Se necesita que la información no verificada quede excluida de las proyecciones hasta que se verifique?</t>
  </si>
  <si>
    <t>¿Se necesita seguir llenando el formato en papel en paralelo durante los primeros meses de uso?</t>
  </si>
  <si>
    <t>¿Se necesita que el sistema permita comparar lo capturado en la aplicación contra el formato en papel del mismo día?</t>
  </si>
  <si>
    <t>¿Se necesita que no se pierda ningún dato capturado bajo ninguna circunstancia?</t>
  </si>
  <si>
    <t>¿Se necesita que la información se conserve cuando el dispositivo se apaga por batería agotada a mitad de una captura?</t>
  </si>
  <si>
    <t>¿Se necesita que la información se conserve cuando la aplicación se cierra de manera inesperada?</t>
  </si>
  <si>
    <t>¿Se necesita que la información se conserve cuando el dispositivo se moja o se dañe y hay que cambiarlo?</t>
  </si>
  <si>
    <t>¿Se necesita que una sincronización interrumpida a la mitad pueda retomarse sin duplicar ni perder información?</t>
  </si>
  <si>
    <t>¿Se necesita que el sistema haga copias de respaldo de manera automática, sin que nadie lo solicite?</t>
  </si>
  <si>
    <t>¿Se necesita que las copias de respaldo se hagan al menos una vez al día?</t>
  </si>
  <si>
    <t>¿Se necesita poder devolver la información a como estaba en una fecha anterior?</t>
  </si>
  <si>
    <t>¿Se necesita poder devolver la información de una sola finca sin tocar la de las demás?</t>
  </si>
  <si>
    <t>¿Se necesita que la información nunca se elimine, ni siquiera cuando se erradica una cama?</t>
  </si>
  <si>
    <t>¿Se necesita conservar tanto la información tal como se capturó como la información ya corregida?</t>
  </si>
  <si>
    <t>SOLO LA CORREGIDA</t>
  </si>
  <si>
    <t>¿Se necesita que el sistema avise cuando una proyección se calculó con información incompleta?</t>
  </si>
  <si>
    <t>¿Se necesita que el sistema impida publicar una proyección cuando faltan datos de bloques enteros?</t>
  </si>
  <si>
    <t>TODO DEBE ESTAR INGRESADO</t>
  </si>
  <si>
    <t>¿Se necesita que exista una prueba periódica de que las copias de respaldo efectivamente sirven?</t>
  </si>
  <si>
    <t>¿Se necesita que la aplicación avise cuando el almacenamiento del dispositivo está por llenarse?</t>
  </si>
  <si>
    <t>Disponibilidad</t>
  </si>
  <si>
    <t>¿Se necesita capturar información en el área de cultivo sin ninguna conexión de datos?</t>
  </si>
  <si>
    <t>¿Se necesita capturar durante una jornada completa sin sincronizar en ningún momento?</t>
  </si>
  <si>
    <t>¿Se necesita capturar durante tres días seguidos sin sincronizar?</t>
  </si>
  <si>
    <t>¿Se necesita capturar durante una semana seguida sin sincronizar?</t>
  </si>
  <si>
    <t>¿Se necesita capturar durante más de quince días sin sincronizar?</t>
  </si>
  <si>
    <t>¿Se necesita poder consultar la información ya sincronizada aunque en ese momento no haya conexión?</t>
  </si>
  <si>
    <t>¿Se necesita poder consultar la información desde la web aunque la aplicación de captura esté fuera de servicio?</t>
  </si>
  <si>
    <t>¿Se necesita que la captura siga funcionando aunque el servicio en la nube esté caído?</t>
  </si>
  <si>
    <t>¿Se necesita que exista un horario del día en el que el sistema no pueda estar fuera de servicio bajo ninguna circunstancia?</t>
  </si>
  <si>
    <t>¿Se necesita que el sistema esté disponible los siete días de la semana?</t>
  </si>
  <si>
    <t>¿Se necesita que el sistema esté disponible las veinticuatro horas del día?</t>
  </si>
  <si>
    <t>¿Se necesita que exista un periodo del año (temporada alta) con una exigencia de disponibilidad mayor que el resto?</t>
  </si>
  <si>
    <t>¿Se necesita que una interrupción del servicio se resuelva en menos de una hora?</t>
  </si>
  <si>
    <t>¿Se necesita que una interrupción del servicio se resuelva dentro del mismo día?</t>
  </si>
  <si>
    <t>¿Se necesita que las labores de mantenimiento se avisen con anticipación?</t>
  </si>
  <si>
    <t>¿Se necesita que las labores de mantenimiento se hagan sin sacar el sistema de servicio?</t>
  </si>
  <si>
    <t>¿Se necesita poder continuar la captura en otro dispositivo cuando el que se estaba usando deja de funcionar?</t>
  </si>
  <si>
    <t>¿Se necesita que la información capturada en un dispositivo que se dañó o se perdió pueda recuperarse?</t>
  </si>
  <si>
    <t>¿Se necesita que una falla que afecte a una finca no afecte a las demás fincas o empresas?</t>
  </si>
  <si>
    <t>¿Se necesita que el sistema avise cuando un dispositivo lleva demasiado tiempo sin sincronizar?</t>
  </si>
  <si>
    <t>Rendimiento</t>
  </si>
  <si>
    <t>¿Se necesita que registrar una cama completa tome menos tiempo del que hoy toma llenarla en papel?</t>
  </si>
  <si>
    <t>¿Se necesita que registrar una cama completa tome menos de un minuto?</t>
  </si>
  <si>
    <t>*</t>
  </si>
  <si>
    <t>¿Se necesita que registrar una cama completa tome menos de treinta segundos?</t>
  </si>
  <si>
    <t>¿Se necesita poder capturar un bloque completo dentro de una sola jornada?</t>
  </si>
  <si>
    <t>*SOBRA</t>
  </si>
  <si>
    <t>¿Se necesita poder capturar la finca completa dentro de una sola jornada?</t>
  </si>
  <si>
    <t>¿Se necesita que cada dato quede guardado de inmediato, sin espera perceptible?</t>
  </si>
  <si>
    <t>¿Se necesita que el paso de una pantalla a la siguiente sea inmediato aun sin conexión?</t>
  </si>
  <si>
    <t>¿Se necesita que buscar una cama por su código dé resultado de inmediato?</t>
  </si>
  <si>
    <t>LIGERO, NO DE INMEDIATO</t>
  </si>
  <si>
    <t>¿Se necesita que la sincronización de una jornada completa termine en menos de cinco minutos?</t>
  </si>
  <si>
    <t>¿Se necesita que la sincronización ocurra en segundo plano, sin impedir seguir capturando?</t>
  </si>
  <si>
    <t>SERIA EL IDEAL</t>
  </si>
  <si>
    <t>¿Se necesita que muchos dispositivos puedan sincronizar al mismo tiempo al terminar la jornada sin que el sistema se degrade?</t>
  </si>
  <si>
    <t>¿Se necesita que la información sincronizada se vea reflejada en la consulta web de inmediato?</t>
  </si>
  <si>
    <t>¿Se necesita que la información sincronizada se vea reflejada en la consulta web dentro de la misma hora?</t>
  </si>
  <si>
    <t>¿Se necesita que la información sincronizada se vea reflejada al día siguiente?</t>
  </si>
  <si>
    <t>¿Se necesita que un reporte de un mes se genere en menos de diez segundos?</t>
  </si>
  <si>
    <t>¿Se necesita que un reporte que abarque varios años se genere sin espera significativa?</t>
  </si>
  <si>
    <t>¿Se necesita que la proyección se recalcule en el momento en que llega información nueva?</t>
  </si>
  <si>
    <t>¿Se necesita que la proyección se recalcule una vez al día en un horario fijo?</t>
  </si>
  <si>
    <t>¿Se necesita que la aplicación funcione con fluidez en dispositivos de gama baja o de varios años de antigüedad?</t>
  </si>
  <si>
    <t>¿Se necesita que la aplicación no agote la batería del dispositivo antes de terminar la jornada?</t>
  </si>
  <si>
    <t>¿Se necesita que el rendimiento se mantenga igual en temporada alta que en el resto del año?</t>
  </si>
  <si>
    <t>Capacidad para ser Auditado</t>
  </si>
  <si>
    <t>¿Se necesita saber quién capturó cada dato?</t>
  </si>
  <si>
    <t>¿Se necesita saber la fecha y la hora exactas en que se capturó cada dato?</t>
  </si>
  <si>
    <t>¿Se necesita distinguir la hora en que se capturó de la hora en que se sincronizó?</t>
  </si>
  <si>
    <t>¿Se necesita saber desde qué dispositivo se capturó cada dato?</t>
  </si>
  <si>
    <t>¿Se necesita saber en qué lugar físico se encontraba el dispositivo al capturar?</t>
  </si>
  <si>
    <t>¿Se necesita conservar todas las versiones anteriores de un dato modificado, y no solo la última?</t>
  </si>
  <si>
    <t>¿Se necesita saber quién hizo cada modificación y por qué motivo?</t>
  </si>
  <si>
    <t>¿Se necesita poder ver la historia completa de una cama desde la siembra hasta la erradicación?</t>
  </si>
  <si>
    <t>¿Se necesita poder ver la historia completa de un lote a través de varias camas?</t>
  </si>
  <si>
    <t>¿Se necesita poder ver la historia completa de una variedad a través de varios ciclos?</t>
  </si>
  <si>
    <t>¿Se necesita poder llegar, desde una cifra de un reporte, hasta los datos individuales que la componen?</t>
  </si>
  <si>
    <t>¿Se necesita registrar también quién consultó o exportó la información, y no solo quién la modificó?</t>
  </si>
  <si>
    <t>¿Se necesita que el registro de lo ocurrido no pueda ser alterado ni borrado por nadie?</t>
  </si>
  <si>
    <t>¿Se necesita poder exportar ese registro para entregarlo a un tercero?</t>
  </si>
  <si>
    <t>¿Se necesita conservar la trazabilidad durante al menos cinco años?</t>
  </si>
  <si>
    <t>¿Se necesita conservar la trazabilidad de manera indefinida?</t>
  </si>
  <si>
    <t>¿Se necesita registrar el motivo cada vez que disminuye la cantidad de plantas o de tallos esperados?</t>
  </si>
  <si>
    <t>¿Se necesita poder demostrar ante una auditoría externa el origen de cualquier cifra del sistema?</t>
  </si>
  <si>
    <t>¿Se necesita responder auditorías de certificación (por ejemplo Florverde, Rainforest Alliance o GLOBALG.A.P.) con información sacada del sistema?</t>
  </si>
  <si>
    <t>¿Se necesita conservar dentro del sistema la evidencia de las labores aplicadas a un cultivo que exige la autoridad fitosanitaria?</t>
  </si>
  <si>
    <t>¿Se necesita poder entregar a un comprador la historia completa del lote que adquirió?</t>
  </si>
  <si>
    <t>¿Se necesita que un auditor externo pueda consultar el sistema directamente, sin poder modificar nada?</t>
  </si>
  <si>
    <t>¿Se necesita que ese acceso de consulta externa tenga fecha de vencimiento automática?</t>
  </si>
  <si>
    <t>¿Se necesita generar el informe para una auditoría desde el propio sistema, sin ayuda técnica?</t>
  </si>
  <si>
    <t>¿Se necesita poder demostrar que la información no fue alterada después de haberse cerrado el periodo?</t>
  </si>
  <si>
    <t>¿Se necesita que quede constancia de quién ha visto la información que está protegida como secreto empresarial?</t>
  </si>
  <si>
    <t>¿Se necesita conservar la información durante un periodo mínimo exigido por norma, aunque ya no se use en la operación?</t>
  </si>
  <si>
    <t>DE POR VIDA</t>
  </si>
  <si>
    <t>¿Se necesita que exista un momento en que la información se deba eliminar por obligación normativa?</t>
  </si>
  <si>
    <t>¿Se necesita que los datos personales de quienes capturan reciban un tratamiento distinto al de los datos de producción?</t>
  </si>
  <si>
    <t>¿Se necesita registrar quién aprobó una proyección antes de que se comunique fuera del área?</t>
  </si>
  <si>
    <t>¿Se necesita que las revisiones de calidad de la información queden registradas como evidencia, y no solo su resultado?</t>
  </si>
  <si>
    <t>¿Se necesita poder demostrar con información del propio sistema el cumplimiento de un compromiso adquirido con un tercero?</t>
  </si>
  <si>
    <t>Capacidad</t>
  </si>
  <si>
    <t>¿Se necesita que el sistema soporte toda la información de una finca completa?</t>
  </si>
  <si>
    <t>¿Se necesita que el sistema soporte varias fincas de la misma empresa?</t>
  </si>
  <si>
    <t>¿Se necesita que el sistema soporte varias empresas distintas al mismo tiempo?</t>
  </si>
  <si>
    <t>¿Se necesita conservar en línea la información del último año?</t>
  </si>
  <si>
    <t>O DE OTROS AÑOS</t>
  </si>
  <si>
    <t>¿Se necesita conservar en línea la información de los últimos cinco años?</t>
  </si>
  <si>
    <t>¿Se necesita conservar en línea toda la información desde el primer día, sin límite de tiempo?</t>
  </si>
  <si>
    <t>¿Se necesita que la información antigua siga estando disponible con la misma rapidez que la reciente?</t>
  </si>
  <si>
    <t>¿Se aceptaría que la información de más de cierta antigüedad tarde más en consultarse?</t>
  </si>
  <si>
    <t>¿Se necesita almacenar fotografías tomadas en campo junto con los datos?</t>
  </si>
  <si>
    <t>¿Se necesita almacenar documentos o formatos escaneados asociados a una cama o a un lote?</t>
  </si>
  <si>
    <t>¿Se necesita conservar a la vez la copia sin modificar y la copia corregida de cada dato?</t>
  </si>
  <si>
    <t>¿Se necesita que el dispositivo pueda guardar la información de varios días sin sincronizar sin quedarse sin espacio?</t>
  </si>
  <si>
    <t>¿Se necesita que el dispositivo tenga descargado todo el catálogo de la finca antes de salir a capturar?</t>
  </si>
  <si>
    <t>¿Se necesita prever un crecimiento del volumen de información año tras año sin cambiar de sistema?</t>
  </si>
  <si>
    <t>¿Se necesita que el costo de almacenamiento por finca se mantenga acotado a medida que crece la historia?</t>
  </si>
  <si>
    <t>Capacidad para ser Administrado</t>
  </si>
  <si>
    <t>¿Se necesita poder crear y dar de baja usuarios sin solicitarlo a quien desarrolló el sistema?</t>
  </si>
  <si>
    <t>¿Se necesita poder cambiar los permisos de un usuario de manera inmediata?</t>
  </si>
  <si>
    <t>¿Se necesita poder retirar el acceso de un usuario el mismo día en que deja de trabajar en la finca?</t>
  </si>
  <si>
    <t>¿Se necesita poder crear bloques, camas y secciones nuevas sin desarrollo adicional?</t>
  </si>
  <si>
    <t>¿Se necesita poder crear variedades nuevas sin desarrollo adicional?</t>
  </si>
  <si>
    <t>¿Se necesita poder cambiar los grados de calidad y sus definiciones sin desarrollo adicional?</t>
  </si>
  <si>
    <t>¿Se necesita poder cambiar la densidad de siembra o los parámetros de cálculo sin desarrollo adicional?</t>
  </si>
  <si>
    <t>¿Se necesita que un cambio de parámetros no altere las proyecciones ya emitidas?</t>
  </si>
  <si>
    <t>¿Se necesita ver en una sola pantalla qué dispositivos tienen información pendiente de sincronizar?</t>
  </si>
  <si>
    <t>¿Se necesita ver en una sola pantalla el avance de captura del día por bloque?</t>
  </si>
  <si>
    <t>¿Se necesita poder forzar la sincronización de un dispositivo de manera remota?</t>
  </si>
  <si>
    <t>¿Se necesita poder actualizar la aplicación en todos los dispositivos sin recogerlos uno por uno?</t>
  </si>
  <si>
    <t>¿Se necesita que una actualización nunca obligue a suspender la captura del día?</t>
  </si>
  <si>
    <t>¿Se necesita poder configurar con anticipación las fechas de temporada alta y baja, y los días festivos o no laborables de la finca?</t>
  </si>
  <si>
    <t>* NO SE ENTIENDE</t>
  </si>
  <si>
    <t>¿Se necesita que la administración del sistema se pueda hacer desde un computador de la finca, sin herramientas técnicas especiales?</t>
  </si>
  <si>
    <t>¿Se necesita que quien administra el sistema en la finca no pueda modificar la información de producción?</t>
  </si>
  <si>
    <t>Experiencia de Usuario</t>
  </si>
  <si>
    <t>¿Se necesita que la captura se pueda completar con una sola mano?</t>
  </si>
  <si>
    <t>¿Se necesita que la captura se pueda hacer con guantes puestos?</t>
  </si>
  <si>
    <t>¿Se necesita que la pantalla sea legible bajo el sol directo?</t>
  </si>
  <si>
    <t>¿Se necesita que la mayoría de los datos se capturen escogiendo de una lista y no escribiendo?</t>
  </si>
  <si>
    <t>¿Se necesita reducir al mínimo la cantidad de toques necesarios para registrar una cama?</t>
  </si>
  <si>
    <t>¿Se necesita poder deshacer el último dato registrado sin salir de la pantalla?</t>
  </si>
  <si>
    <t>¿Se necesita ver en todo momento cuánto se lleva capturado y cuánto falta de la jornada?</t>
  </si>
  <si>
    <t>¿Se necesita que la aplicación indique con claridad qué información ya se sincronizó y cuál no?</t>
  </si>
  <si>
    <t>¿Se necesita que los nombres que aparecen en pantalla sean exactamente los que se usan hablando en la finca?</t>
  </si>
  <si>
    <t>¿Se necesita que la aplicación se pueda usar sin capacitación formal previa?</t>
  </si>
  <si>
    <t>¿Se necesita que una persona nueva pueda capturar correctamente su primera cama en menos de diez minutos de acompañamiento?</t>
  </si>
  <si>
    <t>¿Se necesita poder identificar la cama escaneando una marca física en lugar de escribir el código?</t>
  </si>
  <si>
    <t>¿Se necesita poder capturar dictando por voz en lugar de escribiendo?</t>
  </si>
  <si>
    <t>¿Se necesita que el sistema sugiera valores mientras se captura, siempre que la sugerencia se pueda rechazar?</t>
  </si>
  <si>
    <t>¿Se necesita que la consulta de resultados se pueda hacer desde un celular y no solo desde un computador?</t>
  </si>
  <si>
    <t>¿Se necesita que cada quien pueda armar su propia vista de consulta sin pedirla a nadie?</t>
  </si>
  <si>
    <t>¿Se necesita ver el estado de las camas sobre una representación gráfica del bloque y no solo en una lista?</t>
  </si>
  <si>
    <t>¿Se necesita que los mensajes de error expliquen qué hacer y no solo qué salió mal?</t>
  </si>
  <si>
    <t>OPCIONAL</t>
  </si>
  <si>
    <t>Seguridad</t>
  </si>
  <si>
    <t>¿Se necesita que cada persona entre al sistema con una identificación propia y no compartida?</t>
  </si>
  <si>
    <t>¿Se necesita poder entrar a la aplicación de captura estando sin conexión?</t>
  </si>
  <si>
    <t>¿Se necesita que la sesión se cierre sola después de un tiempo sin uso?</t>
  </si>
  <si>
    <t>¿Se necesita que la información guardada en el dispositivo quede ilegible si el dispositivo se pierde o lo roban?</t>
  </si>
  <si>
    <t>¿Se necesita poder borrar de manera remota la información de un dispositivo perdido?</t>
  </si>
  <si>
    <t>¿Se necesita que la información de una empresa nunca pueda ser vista desde otra empresa, bajo ninguna circunstancia?</t>
  </si>
  <si>
    <t>¿Se necesita poder demostrar documentalmente ese aislamiento ante el cliente?</t>
  </si>
  <si>
    <t>¿Se necesita que quien opera la plataforma no pueda leer la información de producción de la empresa?</t>
  </si>
  <si>
    <t>¿Se necesita que todo acceso técnico a la información quede registrado y sea revisable?</t>
  </si>
  <si>
    <t>¿Se necesita que la información viaje cifrada entre el dispositivo y la nube?</t>
  </si>
  <si>
    <t>¿Se necesita que las copias de respaldo estén cifradas?</t>
  </si>
  <si>
    <t>¿Se necesita que la llave para descifrar los respaldos sea distinta para cada empresa?</t>
  </si>
  <si>
    <t>¿Se necesita restringir quién puede exportar información fuera del sistema?</t>
  </si>
  <si>
    <t>¿Se necesita que quede registro de cada exportación realizada?</t>
  </si>
  <si>
    <t>¿Se necesita marcar los archivos exportados para poder identificar su origen si se filtran?</t>
  </si>
  <si>
    <t>¿Se necesita que el personal temporal tenga un acceso que caduque solo al terminar su contrato?</t>
  </si>
  <si>
    <t>¿Se necesita que el sistema avise cuando alguien intenta entrar repetidamente sin lograrlo?</t>
  </si>
  <si>
    <t>¿Se necesita que exista información que no pueda salir del país donde está la finca?</t>
  </si>
  <si>
    <t>¿Se aceptaría que dentro de una misma empresa toda la información sea visible para todos sus usuarios?</t>
  </si>
  <si>
    <t>Interoperatividad</t>
  </si>
  <si>
    <t>¿Se necesita poder exportar la información a Excel?</t>
  </si>
  <si>
    <t>¿Se necesita poder exportar los reportes a PDF?</t>
  </si>
  <si>
    <t>¿Se necesita que la exportación conserve exactamente el formato de los archivos que hoy se comparten?</t>
  </si>
  <si>
    <t>¿Se necesita cargar la información inicial de la finca desde los archivos que ya existen?</t>
  </si>
  <si>
    <t>¿Se necesita que el sistema entregue información al sistema administrativo que la empresa ya tiene?</t>
  </si>
  <si>
    <t>¿Se necesita que el sistema tome información del sistema administrativo que la empresa ya tiene?</t>
  </si>
  <si>
    <t>¿Se necesita que el sistema conviva con la aplicación de plagas sin reemplazarla?</t>
  </si>
  <si>
    <t>¿Se necesita que el sistema consuma la información que produce la aplicación de plagas?</t>
  </si>
  <si>
    <t>¿Se necesita que el sistema entregue información al proceso de nómina o de productividades?</t>
  </si>
  <si>
    <t>PRODUCTIVIDADES SI</t>
  </si>
  <si>
    <t>¿Se necesita que la información se pueda leer desde una herramienta de análisis externa?</t>
  </si>
  <si>
    <t>POWER BI</t>
  </si>
  <si>
    <t>¿Se necesita que exista una manera automática de conectar el sistema con otros programas, sin intervención manual?</t>
  </si>
  <si>
    <t>¿Se necesita que la información se pueda entregar a un cliente o a un comercializador externo?</t>
  </si>
  <si>
    <t>¿Se aceptaría que, en la primera entrega, la única forma de intercambio sea la exportación manual a Excel y PDF?</t>
  </si>
  <si>
    <t>Escalabilidad</t>
  </si>
  <si>
    <t>¿Se necesita poder agregar bloques y camas nuevas en plena temporada sin interrumpir la operación?</t>
  </si>
  <si>
    <t>¿Se necesita poder duplicar la cantidad de personas que capturan sin que el sistema se vuelva más lento?</t>
  </si>
  <si>
    <t>¿Se necesita poder agregar una finca nueva sin volver a instalar ni reconfigurar todo?</t>
  </si>
  <si>
    <t>¿Se necesita poder agregar una empresa nueva sin afectar a las que ya están funcionando?</t>
  </si>
  <si>
    <t>¿Se necesita soportar el aumento de actividad de la temporada alta sin degradación perceptible?</t>
  </si>
  <si>
    <t>¿Se necesita soportar que varias empresas tengan su pico de temporada exactamente en las mismas fechas?</t>
  </si>
  <si>
    <t>¿Se necesita que el crecimiento del sistema no implique un aumento proporcional del costo por finca?</t>
  </si>
  <si>
    <t>¿Se necesita que un cambio en la estructura del sistema se aplique a todas las empresas sin intervención manual una por una?</t>
  </si>
  <si>
    <t>¿Se necesita que el sistema soporte varios años de historia acumulada sin que las consultas se vuelvan lentas?</t>
  </si>
  <si>
    <t>¿Se necesita prever el uso simultáneo de más de treinta personas subiendo información el mismo día?</t>
  </si>
  <si>
    <t>¿Se necesita que agregar un tipo de labor o de medición nueva no exija rehacer la captura existente?</t>
  </si>
  <si>
    <t>Capacidad para ser Soportado</t>
  </si>
  <si>
    <t>¿Se necesita que exista alguien dentro de la finca capaz de resolver los problemas del día a día?</t>
  </si>
  <si>
    <t>¿Se necesita que un problema en plena jornada de captura se resuelva el mismo día?</t>
  </si>
  <si>
    <t>¿Se necesita que un problema en plena jornada de captura se resuelva en menos de una hora?</t>
  </si>
  <si>
    <t>¿Se necesita poder reportar un problema desde la misma aplicación, sin llamar por teléfono?</t>
  </si>
  <si>
    <t>¿Se necesita que el reporte de un problema incluya automáticamente lo que estaba haciendo la persona cuando ocurrió?</t>
  </si>
  <si>
    <t>¿Se necesita poder diagnosticar un problema sin tener que desplazarse hasta la finca?</t>
  </si>
  <si>
    <t>¿Se necesita poder revisar el estado de un dispositivo de forma remota?</t>
  </si>
  <si>
    <t>¿Se necesita que el soporte esté disponible en horario extendido durante la temporada alta?</t>
  </si>
  <si>
    <t>¿Se necesita que exista un manual de uso escrito?</t>
  </si>
  <si>
    <t>¿Se necesita que existan videos cortos de apoyo dentro de la propia aplicación?</t>
  </si>
  <si>
    <t>¿Se necesita que la persona que capturó pueda seguir trabajando mientras su problema se resuelve?</t>
  </si>
  <si>
    <t>¿Se necesita llevar un registro de los problemas reportados y de cómo se resolvieron?</t>
  </si>
  <si>
    <t>¿Se necesita que la puesta en marcha del sistema no detenga la operación por más de una semana?</t>
  </si>
  <si>
    <t>Portabilidad</t>
  </si>
  <si>
    <t>¿Se necesita que la aplicación de captura funcione en dispositivos Android?</t>
  </si>
  <si>
    <t>¿Se necesita que la aplicación de captura funcione también en dispositivos Apple?</t>
  </si>
  <si>
    <t>¿Se necesita que la aplicación funcione en tabletas además de en celulares?</t>
  </si>
  <si>
    <t>¿Se necesita que la consulta funcione en cualquier navegador, sin instalar nada?</t>
  </si>
  <si>
    <t>¿Se necesita que el dispositivo de captura lo ponga cada persona y no la empresa?</t>
  </si>
  <si>
    <t>IDEAL DE LA EMPRESA</t>
  </si>
  <si>
    <t>¿Se necesita poder cambiar de dispositivo conservando la información que aún no se ha sincronizado?</t>
  </si>
  <si>
    <t>¿Se necesita que la misma persona pueda usar dos dispositivos distintos el mismo día?</t>
  </si>
  <si>
    <t>¿Se necesita que el sistema pueda operar en una finca ubicada en otro país?</t>
  </si>
  <si>
    <t>¿Se necesita que el sistema maneje otro idioma además del español?</t>
  </si>
  <si>
    <t>¿Se necesita que el sistema maneje unidades de medida distintas según la finca?</t>
  </si>
  <si>
    <t>¿Se necesita poder llevarse toda la información en un formato utilizable si se termina la relación con el proveedor?</t>
  </si>
  <si>
    <t>¿Se necesita que el sistema pueda instalarse en servidores de la propia empresa y no solo en la nube?</t>
  </si>
  <si>
    <t>¿Se necesita que el sistema pueda funcionar con un tipo de flor distinto al que se maneja hoy?</t>
  </si>
  <si>
    <t>Accesibilidad</t>
  </si>
  <si>
    <t>¿Se necesita que el sistema lo pueda usar una persona con poca experiencia en el manejo de celulares?</t>
  </si>
  <si>
    <t>¿Se necesita que el sistema lo pueda usar una persona con dificultad para leer textos largos?</t>
  </si>
  <si>
    <t>¿Se necesita que las opciones se identifiquen con imágenes o símbolos además de con palabras?</t>
  </si>
  <si>
    <t>¿Se necesita que el tamaño de la letra se pueda aumentar sin que la pantalla deje de funcionar?</t>
  </si>
  <si>
    <t>¿Se necesita que la información nunca dependa solo del color para entenderse?</t>
  </si>
  <si>
    <t>¿Se necesita que el sistema sea usable por una persona que no distingue ciertos colores?</t>
  </si>
  <si>
    <t>¿Se necesita que los botones sean lo bastante grandes para acertarles sin precisión fina?</t>
  </si>
  <si>
    <t>¿Se necesita que la aplicación se pueda escuchar en lugar de leer?</t>
  </si>
  <si>
    <t>¿Se necesita que la aplicación funcione en un ambiente ruidoso, sin depender del sonido?</t>
  </si>
  <si>
    <t>¿Se necesita que la consulta web cumpla algún estándar formal de accesibilidad?</t>
  </si>
  <si>
    <t>¿Se necesita que exista una manera alternativa de reportar la información cuando alguien no puede usar el dispositivo?</t>
  </si>
  <si>
    <t>Cierre de la sesión</t>
  </si>
  <si>
    <t>De todo lo que respondió «Sí», ¿hay algo que, si el sistema no lo cumple, haría que no valga la pena usarlo?</t>
  </si>
  <si>
    <t>CERTEZA DE LOS DATOS, QUE SE INGRESEN LOS DATOS CORRECTAMENTE</t>
  </si>
  <si>
    <t>¿Hay alguna de estas exigencias que esté dispuesto a sacrificar con tal de que la captura en campo sea más rápida?</t>
  </si>
  <si>
    <t>¿Hay algo que necesite el sistema y que ninguna de estas preguntas haya tocado?</t>
  </si>
  <si>
    <t>Atributos propuestos por usuario</t>
  </si>
  <si>
    <t>Atributos Promediados entre usuario y Arquitectos</t>
  </si>
  <si>
    <t>Atributos de Calidad</t>
  </si>
  <si>
    <t>Prioridad</t>
  </si>
  <si>
    <t>&lt;----Prioridad----&gt;</t>
  </si>
  <si>
    <t>Atributos Propuestos por Arquitectos</t>
  </si>
  <si>
    <t>Atributos de calidad</t>
  </si>
  <si>
    <t>&lt;---Actores----&gt;</t>
  </si>
  <si>
    <t>Supervisor de Campo</t>
  </si>
  <si>
    <t>Gerente de producción</t>
  </si>
  <si>
    <t>Administrador del sistema</t>
  </si>
  <si>
    <t>Puntuación total</t>
  </si>
  <si>
    <t>Porcentaje</t>
  </si>
  <si>
    <t>|</t>
  </si>
  <si>
    <t>Rank</t>
  </si>
  <si>
    <t>Producción</t>
  </si>
  <si>
    <t>Metodologia: cada rol (Tomador de datos, Producción, Administrador) distribuyó 65 puntos entre 29 preguntas (2x5 + 3x4 + 6x3 + 7x2 + 11x1), priorizando segun la importancia de cada atributo de calidad para ese rol (hoja '2. Priorización-QA'), el consenso de necesidad (SI) en la hoja '3. Caracterización' y las citas textuales del cliente (CITAS_TEXTUALES_CLIENTE.md, HOJA_SESION_CLIENTE.md). Estas son las 65 preguntas con mayor puntaje total sumando los 3 roles; en caso de empate se prefirió el atributo de calidad de mayor prioridad promedio entre los 3 roles, el mayor consenso (SI) entre Juan, Jerónimo y el Cliente, y evidencia textual directa del cliente cuando existía (p. ej. RF-C17 sobre quién corrige un dato ya sincronizado).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</si>
</sst>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4472C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10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10" fontId="0" fillId="4" borderId="1" xfId="0" applyNumberFormat="1" applyFill="1" applyBorder="1"/>
    <xf numFmtId="10" fontId="0" fillId="0" borderId="0" xfId="0" applyNumberFormat="1"/>
    <xf numFmtId="0" fontId="0" fillId="2" borderId="4" xfId="0" applyFill="1" applyBorder="1"/>
    <xf numFmtId="0" fontId="0" fillId="3" borderId="4" xfId="0" applyFill="1" applyBorder="1"/>
    <xf numFmtId="0" fontId="0" fillId="0" borderId="5" xfId="0" applyBorder="1"/>
    <xf numFmtId="0" fontId="0" fillId="3" borderId="5" xfId="0" applyFill="1" applyBorder="1"/>
    <xf numFmtId="0" fontId="3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0" fontId="0" fillId="5" borderId="1" xfId="0" applyFill="1" applyBorder="1"/>
    <xf numFmtId="0" fontId="4" fillId="6" borderId="8" xfId="0" applyFont="1" applyFill="1" applyBorder="1"/>
    <xf numFmtId="0" fontId="4" fillId="6" borderId="8" xfId="0" applyFont="1" applyFill="1" applyBorder="1" applyAlignment="1">
      <alignment wrapText="1"/>
    </xf>
    <xf numFmtId="0" fontId="4" fillId="7" borderId="8" xfId="0" applyFont="1" applyFill="1" applyBorder="1"/>
    <xf numFmtId="0" fontId="4" fillId="7" borderId="8" xfId="0" applyFont="1" applyFill="1" applyBorder="1" applyAlignment="1">
      <alignment wrapText="1"/>
    </xf>
    <xf numFmtId="0" fontId="3" fillId="0" borderId="6" xfId="0" applyFont="1" applyBorder="1"/>
    <xf numFmtId="0" fontId="5" fillId="8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Mapa de empatía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'2. Priorización-QA'!$B$1:$B$2</c:f>
              <c:strCache>
                <c:ptCount val="2"/>
                <c:pt idx="0">
                  <c:v>&lt;---Actores----&gt;</c:v>
                </c:pt>
                <c:pt idx="1">
                  <c:v>Supervisor de Campo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'2. Priorización-QA'!$A$3:$A$15</c:f>
              <c:strCache>
                <c:ptCount val="13"/>
                <c:pt idx="0">
                  <c:v>Confiabilidad</c:v>
                </c:pt>
                <c:pt idx="1">
                  <c:v>Disponibilidad</c:v>
                </c:pt>
                <c:pt idx="2">
                  <c:v>Rendimiento</c:v>
                </c:pt>
                <c:pt idx="3">
                  <c:v>Capacidad para ser Auditado</c:v>
                </c:pt>
                <c:pt idx="4">
                  <c:v>Capacidad</c:v>
                </c:pt>
                <c:pt idx="5">
                  <c:v>Capacidad para ser Administrado</c:v>
                </c:pt>
                <c:pt idx="6">
                  <c:v>Experiencia de Usuario</c:v>
                </c:pt>
                <c:pt idx="7">
                  <c:v>Seguridad</c:v>
                </c:pt>
                <c:pt idx="8">
                  <c:v>Interoperatividad</c:v>
                </c:pt>
                <c:pt idx="9">
                  <c:v>Escalabilidad</c:v>
                </c:pt>
                <c:pt idx="10">
                  <c:v>Capacidad para ser Soportado</c:v>
                </c:pt>
                <c:pt idx="11">
                  <c:v>Portabilidad</c:v>
                </c:pt>
                <c:pt idx="12">
                  <c:v>Accesibilidad</c:v>
                </c:pt>
              </c:strCache>
            </c:strRef>
          </c:cat>
          <c:val>
            <c:numRef>
              <c:f>'2. Priorización-QA'!$B$3:$B$15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6</c:v>
                </c:pt>
                <c:pt idx="7">
                  <c:v>10</c:v>
                </c:pt>
                <c:pt idx="8">
                  <c:v>5</c:v>
                </c:pt>
                <c:pt idx="9">
                  <c:v>8</c:v>
                </c:pt>
                <c:pt idx="10">
                  <c:v>12</c:v>
                </c:pt>
                <c:pt idx="11">
                  <c:v>4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C-4357-9225-2EC29B8D02EB}"/>
            </c:ext>
          </c:extLst>
        </c:ser>
        <c:ser>
          <c:idx val="1"/>
          <c:order val="1"/>
          <c:tx>
            <c:strRef>
              <c:f>'2. Priorización-QA'!$C$1:$C$2</c:f>
              <c:strCache>
                <c:ptCount val="2"/>
                <c:pt idx="0">
                  <c:v>&lt;---Actores----&gt;</c:v>
                </c:pt>
                <c:pt idx="1">
                  <c:v>Gerente de producción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'2. Priorización-QA'!$A$3:$A$15</c:f>
              <c:strCache>
                <c:ptCount val="13"/>
                <c:pt idx="0">
                  <c:v>Confiabilidad</c:v>
                </c:pt>
                <c:pt idx="1">
                  <c:v>Disponibilidad</c:v>
                </c:pt>
                <c:pt idx="2">
                  <c:v>Rendimiento</c:v>
                </c:pt>
                <c:pt idx="3">
                  <c:v>Capacidad para ser Auditado</c:v>
                </c:pt>
                <c:pt idx="4">
                  <c:v>Capacidad</c:v>
                </c:pt>
                <c:pt idx="5">
                  <c:v>Capacidad para ser Administrado</c:v>
                </c:pt>
                <c:pt idx="6">
                  <c:v>Experiencia de Usuario</c:v>
                </c:pt>
                <c:pt idx="7">
                  <c:v>Seguridad</c:v>
                </c:pt>
                <c:pt idx="8">
                  <c:v>Interoperatividad</c:v>
                </c:pt>
                <c:pt idx="9">
                  <c:v>Escalabilidad</c:v>
                </c:pt>
                <c:pt idx="10">
                  <c:v>Capacidad para ser Soportado</c:v>
                </c:pt>
                <c:pt idx="11">
                  <c:v>Portabilidad</c:v>
                </c:pt>
                <c:pt idx="12">
                  <c:v>Accesibilidad</c:v>
                </c:pt>
              </c:strCache>
            </c:strRef>
          </c:cat>
          <c:val>
            <c:numRef>
              <c:f>'2. Priorización-QA'!$C$3:$C$15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9</c:v>
                </c:pt>
                <c:pt idx="10">
                  <c:v>13</c:v>
                </c:pt>
                <c:pt idx="11">
                  <c:v>11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0C-4357-9225-2EC29B8D02EB}"/>
            </c:ext>
          </c:extLst>
        </c:ser>
        <c:ser>
          <c:idx val="2"/>
          <c:order val="2"/>
          <c:tx>
            <c:strRef>
              <c:f>'2. Priorización-QA'!$D$1:$D$2</c:f>
              <c:strCache>
                <c:ptCount val="2"/>
                <c:pt idx="0">
                  <c:v>&lt;---Actores----&gt;</c:v>
                </c:pt>
                <c:pt idx="1">
                  <c:v>Administrador del sistema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'2. Priorización-QA'!$A$3:$A$15</c:f>
              <c:strCache>
                <c:ptCount val="13"/>
                <c:pt idx="0">
                  <c:v>Confiabilidad</c:v>
                </c:pt>
                <c:pt idx="1">
                  <c:v>Disponibilidad</c:v>
                </c:pt>
                <c:pt idx="2">
                  <c:v>Rendimiento</c:v>
                </c:pt>
                <c:pt idx="3">
                  <c:v>Capacidad para ser Auditado</c:v>
                </c:pt>
                <c:pt idx="4">
                  <c:v>Capacidad</c:v>
                </c:pt>
                <c:pt idx="5">
                  <c:v>Capacidad para ser Administrado</c:v>
                </c:pt>
                <c:pt idx="6">
                  <c:v>Experiencia de Usuario</c:v>
                </c:pt>
                <c:pt idx="7">
                  <c:v>Seguridad</c:v>
                </c:pt>
                <c:pt idx="8">
                  <c:v>Interoperatividad</c:v>
                </c:pt>
                <c:pt idx="9">
                  <c:v>Escalabilidad</c:v>
                </c:pt>
                <c:pt idx="10">
                  <c:v>Capacidad para ser Soportado</c:v>
                </c:pt>
                <c:pt idx="11">
                  <c:v>Portabilidad</c:v>
                </c:pt>
                <c:pt idx="12">
                  <c:v>Accesibilidad</c:v>
                </c:pt>
              </c:strCache>
            </c:strRef>
          </c:cat>
          <c:val>
            <c:numRef>
              <c:f>'2. Priorización-QA'!$D$3:$D$15</c:f>
              <c:numCache>
                <c:formatCode>General</c:formatCode>
                <c:ptCount val="13"/>
                <c:pt idx="0">
                  <c:v>1</c:v>
                </c:pt>
                <c:pt idx="1">
                  <c:v>7</c:v>
                </c:pt>
                <c:pt idx="2">
                  <c:v>9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12</c:v>
                </c:pt>
                <c:pt idx="7">
                  <c:v>6</c:v>
                </c:pt>
                <c:pt idx="8">
                  <c:v>10</c:v>
                </c:pt>
                <c:pt idx="9">
                  <c:v>8</c:v>
                </c:pt>
                <c:pt idx="10">
                  <c:v>2</c:v>
                </c:pt>
                <c:pt idx="11">
                  <c:v>13</c:v>
                </c:pt>
                <c:pt idx="1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0C-4357-9225-2EC29B8D0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421040"/>
        <c:axId val="1557409040"/>
      </c:radarChart>
      <c:catAx>
        <c:axId val="155742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7409040"/>
        <c:crosses val="autoZero"/>
        <c:auto val="1"/>
        <c:lblAlgn val="ctr"/>
        <c:lblOffset val="100"/>
        <c:noMultiLvlLbl val="0"/>
      </c:catAx>
      <c:valAx>
        <c:axId val="155740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7421040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-3810</xdr:colOff>
      <xdr:row>17</xdr:row>
      <xdr:rowOff>65722</xdr:rowOff>
    </xdr:from>
    <xdr:to>
      <xdr:col>4</xdr:col>
      <xdr:colOff>939165</xdr:colOff>
      <xdr:row>45</xdr:row>
      <xdr:rowOff>55245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zoomScaleNormal="100" workbookViewId="0">
      <selection activeCell="Z17" sqref="Z17"/>
    </sheetView>
  </sheetViews>
  <sheetFormatPr baseColWidth="10" defaultRowHeight="14.25" x14ac:dyDescent="0.45"/>
  <cols>
    <col min="1" max="1" width="37.46484375" customWidth="1"/>
    <col min="2" max="2" width="10.53125" customWidth="1"/>
    <col min="3" max="15" width="3.796875" customWidth="1"/>
    <col min="16" max="16" width="2.1328125" customWidth="1"/>
    <col min="17" max="17" width="30.33203125" customWidth="1"/>
    <col min="18" max="18" width="10.1328125" customWidth="1"/>
    <col min="19" max="31" width="3.86328125" customWidth="1"/>
  </cols>
  <sheetData>
    <row r="1" spans="1:31" x14ac:dyDescent="0.45">
      <c r="A1" s="25" t="s">
        <v>311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Q1" s="25" t="s">
        <v>312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 spans="1:31" x14ac:dyDescent="0.45">
      <c r="A2" s="27" t="s">
        <v>313</v>
      </c>
      <c r="B2" s="27" t="s">
        <v>314</v>
      </c>
      <c r="C2" s="27" t="s">
        <v>315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/>
      <c r="P2" s="1"/>
      <c r="Q2" s="27" t="s">
        <v>313</v>
      </c>
      <c r="R2" s="27" t="s">
        <v>314</v>
      </c>
      <c r="S2" s="27" t="s">
        <v>315</v>
      </c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9"/>
    </row>
    <row r="3" spans="1:31" x14ac:dyDescent="0.45">
      <c r="A3" s="30"/>
      <c r="B3" s="30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1"/>
      <c r="Q3" s="30"/>
      <c r="R3" s="30"/>
      <c r="S3" s="2">
        <v>1</v>
      </c>
      <c r="T3" s="2">
        <v>2</v>
      </c>
      <c r="U3" s="2">
        <v>3</v>
      </c>
      <c r="V3" s="2">
        <v>4</v>
      </c>
      <c r="W3" s="2">
        <v>5</v>
      </c>
      <c r="X3" s="2">
        <v>6</v>
      </c>
      <c r="Y3" s="2">
        <v>7</v>
      </c>
      <c r="Z3" s="2">
        <v>8</v>
      </c>
      <c r="AA3" s="2">
        <v>9</v>
      </c>
      <c r="AB3" s="2">
        <v>10</v>
      </c>
      <c r="AC3" s="2">
        <v>11</v>
      </c>
      <c r="AD3" s="2">
        <v>12</v>
      </c>
      <c r="AE3" s="2">
        <v>13</v>
      </c>
    </row>
    <row r="4" spans="1:31" x14ac:dyDescent="0.45">
      <c r="A4" s="3" t="s">
        <v>11</v>
      </c>
      <c r="B4" s="3">
        <v>1</v>
      </c>
      <c r="C4" s="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Q4" s="3" t="s">
        <v>11</v>
      </c>
      <c r="R4" s="3">
        <v>1</v>
      </c>
      <c r="S4" s="7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45">
      <c r="A5" s="3" t="s">
        <v>197</v>
      </c>
      <c r="B5" s="3">
        <v>2</v>
      </c>
      <c r="C5" s="3"/>
      <c r="D5" s="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Q5" s="3" t="s">
        <v>128</v>
      </c>
      <c r="R5" s="3">
        <v>2</v>
      </c>
      <c r="S5" s="3"/>
      <c r="T5" s="7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45">
      <c r="A6" s="3" t="s">
        <v>81</v>
      </c>
      <c r="B6" s="3">
        <v>3</v>
      </c>
      <c r="C6" s="3"/>
      <c r="D6" s="3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Q6" s="3" t="s">
        <v>102</v>
      </c>
      <c r="R6" s="3">
        <v>3</v>
      </c>
      <c r="S6" s="3"/>
      <c r="T6" s="3"/>
      <c r="U6" s="7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45">
      <c r="A7" s="3" t="s">
        <v>217</v>
      </c>
      <c r="B7" s="3">
        <v>4</v>
      </c>
      <c r="C7" s="3"/>
      <c r="D7" s="3"/>
      <c r="E7" s="3"/>
      <c r="F7" s="7"/>
      <c r="G7" s="3"/>
      <c r="H7" s="3"/>
      <c r="I7" s="3"/>
      <c r="J7" s="3"/>
      <c r="K7" s="3"/>
      <c r="L7" s="3"/>
      <c r="M7" s="3"/>
      <c r="N7" s="3"/>
      <c r="O7" s="3"/>
      <c r="Q7" s="3" t="s">
        <v>217</v>
      </c>
      <c r="R7" s="3">
        <v>4</v>
      </c>
      <c r="S7" s="3"/>
      <c r="T7" s="3"/>
      <c r="U7" s="3"/>
      <c r="V7" s="7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45">
      <c r="A8" s="3" t="s">
        <v>102</v>
      </c>
      <c r="B8" s="3">
        <v>5</v>
      </c>
      <c r="C8" s="3"/>
      <c r="D8" s="3"/>
      <c r="E8" s="3"/>
      <c r="F8" s="3"/>
      <c r="G8" s="7"/>
      <c r="H8" s="3"/>
      <c r="I8" s="3"/>
      <c r="J8" s="3"/>
      <c r="K8" s="3"/>
      <c r="L8" s="3"/>
      <c r="M8" s="3"/>
      <c r="N8" s="3"/>
      <c r="O8" s="3"/>
      <c r="Q8" s="3" t="s">
        <v>197</v>
      </c>
      <c r="R8" s="3">
        <v>5</v>
      </c>
      <c r="S8" s="3"/>
      <c r="T8" s="3"/>
      <c r="U8" s="3"/>
      <c r="V8" s="3"/>
      <c r="W8" s="7"/>
      <c r="X8" s="3"/>
      <c r="Y8" s="3"/>
      <c r="Z8" s="3"/>
      <c r="AA8" s="3"/>
      <c r="AB8" s="3"/>
      <c r="AC8" s="3"/>
      <c r="AD8" s="3"/>
      <c r="AE8" s="3"/>
    </row>
    <row r="9" spans="1:31" x14ac:dyDescent="0.45">
      <c r="A9" s="3" t="s">
        <v>265</v>
      </c>
      <c r="B9" s="3">
        <v>6</v>
      </c>
      <c r="C9" s="3"/>
      <c r="D9" s="3"/>
      <c r="E9" s="3"/>
      <c r="F9" s="3"/>
      <c r="G9" s="3"/>
      <c r="H9" s="7"/>
      <c r="I9" s="3"/>
      <c r="J9" s="3"/>
      <c r="K9" s="3"/>
      <c r="L9" s="3"/>
      <c r="M9" s="3"/>
      <c r="N9" s="3"/>
      <c r="O9" s="3"/>
      <c r="Q9" s="3" t="s">
        <v>81</v>
      </c>
      <c r="R9" s="3">
        <v>6</v>
      </c>
      <c r="S9" s="3"/>
      <c r="T9" s="3"/>
      <c r="U9" s="3"/>
      <c r="V9" s="3"/>
      <c r="W9" s="3"/>
      <c r="X9" s="7"/>
      <c r="Y9" s="3"/>
      <c r="Z9" s="3"/>
      <c r="AA9" s="3"/>
      <c r="AB9" s="3"/>
      <c r="AC9" s="3"/>
      <c r="AD9" s="3"/>
      <c r="AE9" s="3"/>
    </row>
    <row r="10" spans="1:31" x14ac:dyDescent="0.45">
      <c r="A10" s="3" t="s">
        <v>179</v>
      </c>
      <c r="B10" s="3">
        <v>7</v>
      </c>
      <c r="C10" s="3"/>
      <c r="D10" s="3"/>
      <c r="E10" s="3"/>
      <c r="F10" s="3"/>
      <c r="G10" s="3"/>
      <c r="H10" s="5"/>
      <c r="I10" s="7"/>
      <c r="J10" s="3"/>
      <c r="K10" s="3"/>
      <c r="L10" s="3"/>
      <c r="M10" s="3"/>
      <c r="N10" s="3"/>
      <c r="O10" s="3"/>
      <c r="Q10" s="3" t="s">
        <v>253</v>
      </c>
      <c r="R10" s="3">
        <v>7</v>
      </c>
      <c r="S10" s="3"/>
      <c r="T10" s="3"/>
      <c r="U10" s="3"/>
      <c r="V10" s="3"/>
      <c r="W10" s="3"/>
      <c r="X10" s="3"/>
      <c r="Y10" s="7"/>
      <c r="Z10" s="3"/>
      <c r="AA10" s="3"/>
      <c r="AB10" s="3"/>
      <c r="AC10" s="3"/>
      <c r="AD10" s="3"/>
      <c r="AE10" s="3"/>
    </row>
    <row r="11" spans="1:31" x14ac:dyDescent="0.45">
      <c r="A11" s="3" t="s">
        <v>279</v>
      </c>
      <c r="B11" s="3">
        <v>8</v>
      </c>
      <c r="C11" s="3"/>
      <c r="D11" s="3"/>
      <c r="E11" s="3"/>
      <c r="F11" s="3"/>
      <c r="G11" s="3"/>
      <c r="H11" s="3"/>
      <c r="I11" s="3"/>
      <c r="J11" s="7"/>
      <c r="K11" s="3"/>
      <c r="L11" s="3"/>
      <c r="M11" s="3"/>
      <c r="N11" s="3"/>
      <c r="O11" s="3"/>
      <c r="Q11" s="3" t="s">
        <v>179</v>
      </c>
      <c r="R11" s="3">
        <v>8</v>
      </c>
      <c r="S11" s="3"/>
      <c r="T11" s="3"/>
      <c r="U11" s="3"/>
      <c r="V11" s="3"/>
      <c r="W11" s="3"/>
      <c r="X11" s="3"/>
      <c r="Y11" s="3"/>
      <c r="Z11" s="7"/>
      <c r="AA11" s="3"/>
      <c r="AB11" s="3"/>
      <c r="AC11" s="3"/>
      <c r="AD11" s="3"/>
      <c r="AE11" s="3"/>
    </row>
    <row r="12" spans="1:31" x14ac:dyDescent="0.45">
      <c r="A12" s="3" t="s">
        <v>162</v>
      </c>
      <c r="B12" s="3">
        <v>9</v>
      </c>
      <c r="C12" s="3"/>
      <c r="D12" s="3"/>
      <c r="E12" s="3"/>
      <c r="F12" s="3"/>
      <c r="G12" s="3"/>
      <c r="H12" s="3"/>
      <c r="I12" s="3"/>
      <c r="J12" s="3"/>
      <c r="K12" s="7"/>
      <c r="L12" s="3"/>
      <c r="M12" s="3"/>
      <c r="N12" s="3"/>
      <c r="O12" s="3"/>
      <c r="Q12" s="3" t="s">
        <v>279</v>
      </c>
      <c r="R12" s="3">
        <v>9</v>
      </c>
      <c r="S12" s="3"/>
      <c r="T12" s="3"/>
      <c r="U12" s="3"/>
      <c r="V12" s="3"/>
      <c r="W12" s="3"/>
      <c r="X12" s="3"/>
      <c r="Y12" s="3"/>
      <c r="Z12" s="3"/>
      <c r="AA12" s="7"/>
      <c r="AB12" s="3"/>
      <c r="AC12" s="3"/>
      <c r="AD12" s="3"/>
      <c r="AE12" s="3"/>
    </row>
    <row r="13" spans="1:31" x14ac:dyDescent="0.45">
      <c r="A13" s="3" t="s">
        <v>294</v>
      </c>
      <c r="B13" s="3">
        <v>10</v>
      </c>
      <c r="C13" s="3"/>
      <c r="D13" s="3"/>
      <c r="E13" s="3"/>
      <c r="F13" s="3"/>
      <c r="G13" s="3"/>
      <c r="H13" s="3"/>
      <c r="I13" s="3"/>
      <c r="J13" s="3"/>
      <c r="K13" s="3"/>
      <c r="L13" s="7"/>
      <c r="M13" s="3"/>
      <c r="N13" s="3"/>
      <c r="O13" s="3"/>
      <c r="Q13" s="3" t="s">
        <v>162</v>
      </c>
      <c r="R13" s="3">
        <v>10</v>
      </c>
      <c r="S13" s="3"/>
      <c r="T13" s="3"/>
      <c r="U13" s="3"/>
      <c r="V13" s="3"/>
      <c r="W13" s="3"/>
      <c r="X13" s="3"/>
      <c r="Y13" s="3"/>
      <c r="Z13" s="3"/>
      <c r="AA13" s="3"/>
      <c r="AB13" s="7"/>
      <c r="AC13" s="3"/>
      <c r="AD13" s="3"/>
      <c r="AE13" s="3"/>
    </row>
    <row r="14" spans="1:31" x14ac:dyDescent="0.45">
      <c r="A14" s="3" t="s">
        <v>128</v>
      </c>
      <c r="B14" s="3">
        <v>11</v>
      </c>
      <c r="C14" s="3"/>
      <c r="D14" s="3"/>
      <c r="E14" s="3"/>
      <c r="F14" s="3"/>
      <c r="G14" s="3"/>
      <c r="H14" s="3"/>
      <c r="I14" s="3"/>
      <c r="J14" s="5"/>
      <c r="K14" s="3"/>
      <c r="L14" s="3"/>
      <c r="M14" s="7"/>
      <c r="N14" s="3"/>
      <c r="O14" s="3"/>
      <c r="Q14" s="3" t="s">
        <v>265</v>
      </c>
      <c r="R14" s="3">
        <v>11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7"/>
      <c r="AD14" s="3"/>
      <c r="AE14" s="3"/>
    </row>
    <row r="15" spans="1:31" x14ac:dyDescent="0.45">
      <c r="A15" s="3" t="s">
        <v>253</v>
      </c>
      <c r="B15" s="3">
        <v>12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7"/>
      <c r="O15" s="3"/>
      <c r="Q15" s="3" t="s">
        <v>237</v>
      </c>
      <c r="R15" s="3">
        <v>12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7"/>
      <c r="AE15" s="3"/>
    </row>
    <row r="16" spans="1:31" x14ac:dyDescent="0.45">
      <c r="A16" s="3" t="s">
        <v>237</v>
      </c>
      <c r="B16" s="3">
        <v>13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7"/>
      <c r="Q16" s="3" t="s">
        <v>294</v>
      </c>
      <c r="R16" s="3">
        <v>13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7"/>
    </row>
    <row r="18" spans="1:15" x14ac:dyDescent="0.45">
      <c r="A18" s="25" t="s">
        <v>316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spans="1:15" x14ac:dyDescent="0.45">
      <c r="A19" s="27" t="s">
        <v>313</v>
      </c>
      <c r="B19" s="27" t="s">
        <v>314</v>
      </c>
      <c r="C19" s="27" t="s">
        <v>315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9"/>
    </row>
    <row r="20" spans="1:15" x14ac:dyDescent="0.45">
      <c r="A20" s="30"/>
      <c r="B20" s="30"/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</row>
    <row r="21" spans="1:15" x14ac:dyDescent="0.45">
      <c r="A21" s="3" t="s">
        <v>11</v>
      </c>
      <c r="B21" s="3">
        <v>1</v>
      </c>
      <c r="C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45">
      <c r="A22" s="3" t="s">
        <v>81</v>
      </c>
      <c r="B22" s="3">
        <v>2</v>
      </c>
      <c r="C22" s="5"/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45">
      <c r="A23" s="3" t="s">
        <v>162</v>
      </c>
      <c r="B23" s="3">
        <v>3</v>
      </c>
      <c r="C23" s="5"/>
      <c r="D23" s="5"/>
      <c r="E23" s="7"/>
      <c r="F23" s="5"/>
      <c r="G23" s="5"/>
      <c r="H23" s="5"/>
      <c r="I23" s="5"/>
      <c r="J23" s="5"/>
      <c r="K23" s="5"/>
      <c r="L23" s="5"/>
      <c r="M23" s="3"/>
      <c r="N23" s="5"/>
      <c r="O23" s="5"/>
    </row>
    <row r="24" spans="1:15" x14ac:dyDescent="0.45">
      <c r="A24" s="3" t="s">
        <v>102</v>
      </c>
      <c r="B24" s="3">
        <v>4</v>
      </c>
      <c r="C24" s="5"/>
      <c r="D24" s="5"/>
      <c r="E24" s="3"/>
      <c r="F24" s="7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45">
      <c r="A25" s="3" t="s">
        <v>128</v>
      </c>
      <c r="B25" s="3">
        <v>5</v>
      </c>
      <c r="C25" s="5"/>
      <c r="D25" s="5"/>
      <c r="E25" s="5"/>
      <c r="F25" s="3"/>
      <c r="G25" s="7"/>
      <c r="H25" s="5"/>
      <c r="I25" s="5"/>
      <c r="J25" s="5"/>
      <c r="K25" s="5"/>
      <c r="L25" s="5"/>
      <c r="M25" s="5"/>
      <c r="N25" s="5"/>
      <c r="O25" s="5"/>
    </row>
    <row r="26" spans="1:15" x14ac:dyDescent="0.45">
      <c r="A26" s="3" t="s">
        <v>179</v>
      </c>
      <c r="B26" s="3">
        <v>6</v>
      </c>
      <c r="C26" s="5"/>
      <c r="D26" s="5"/>
      <c r="E26" s="5"/>
      <c r="F26" s="5"/>
      <c r="G26" s="5"/>
      <c r="H26" s="7"/>
      <c r="I26" s="5"/>
      <c r="J26" s="5"/>
      <c r="K26" s="5"/>
      <c r="L26" s="5"/>
      <c r="M26" s="5"/>
      <c r="N26" s="5"/>
      <c r="O26" s="5"/>
    </row>
    <row r="27" spans="1:15" x14ac:dyDescent="0.45">
      <c r="A27" s="3" t="s">
        <v>237</v>
      </c>
      <c r="B27" s="3">
        <v>7</v>
      </c>
      <c r="C27" s="5"/>
      <c r="D27" s="5"/>
      <c r="E27" s="5"/>
      <c r="F27" s="5"/>
      <c r="G27" s="5"/>
      <c r="H27" s="5"/>
      <c r="I27" s="7"/>
      <c r="J27" s="5"/>
      <c r="K27" s="3"/>
      <c r="L27" s="3"/>
      <c r="M27" s="3"/>
      <c r="N27" s="5"/>
      <c r="O27" s="5"/>
    </row>
    <row r="28" spans="1:15" x14ac:dyDescent="0.45">
      <c r="A28" s="3" t="s">
        <v>197</v>
      </c>
      <c r="B28" s="3">
        <v>8</v>
      </c>
      <c r="C28" s="5"/>
      <c r="D28" s="3"/>
      <c r="E28" s="5"/>
      <c r="F28" s="3"/>
      <c r="G28" s="3"/>
      <c r="H28" s="3"/>
      <c r="I28" s="3"/>
      <c r="J28" s="7"/>
      <c r="K28" s="5"/>
      <c r="L28" s="5"/>
      <c r="M28" s="5"/>
      <c r="N28" s="5"/>
      <c r="O28" s="5"/>
    </row>
    <row r="29" spans="1:15" x14ac:dyDescent="0.45">
      <c r="A29" s="3" t="s">
        <v>217</v>
      </c>
      <c r="B29" s="3">
        <v>9</v>
      </c>
      <c r="C29" s="5"/>
      <c r="D29" s="5"/>
      <c r="E29" s="5"/>
      <c r="F29" s="5"/>
      <c r="G29" s="5"/>
      <c r="H29" s="3"/>
      <c r="I29" s="3"/>
      <c r="J29" s="3"/>
      <c r="K29" s="7"/>
      <c r="L29" s="5"/>
      <c r="M29" s="5"/>
      <c r="N29" s="11"/>
      <c r="O29" s="13"/>
    </row>
    <row r="30" spans="1:15" x14ac:dyDescent="0.45">
      <c r="A30" s="3" t="s">
        <v>279</v>
      </c>
      <c r="B30" s="3">
        <v>10</v>
      </c>
      <c r="C30" s="5"/>
      <c r="D30" s="5"/>
      <c r="E30" s="5"/>
      <c r="F30" s="5"/>
      <c r="G30" s="5"/>
      <c r="H30" s="5"/>
      <c r="I30" s="5"/>
      <c r="J30" s="3"/>
      <c r="K30" s="3"/>
      <c r="L30" s="7"/>
      <c r="M30" s="5"/>
      <c r="N30" s="11"/>
      <c r="O30" s="13"/>
    </row>
    <row r="31" spans="1:15" x14ac:dyDescent="0.45">
      <c r="A31" s="3" t="s">
        <v>265</v>
      </c>
      <c r="B31" s="3">
        <v>11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11"/>
      <c r="O31" s="13"/>
    </row>
    <row r="32" spans="1:15" x14ac:dyDescent="0.45">
      <c r="A32" s="3" t="s">
        <v>294</v>
      </c>
      <c r="B32" s="3">
        <v>12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3"/>
      <c r="N32" s="12"/>
      <c r="O32" s="13"/>
    </row>
    <row r="33" spans="1:15" x14ac:dyDescent="0.45">
      <c r="A33" s="3" t="s">
        <v>253</v>
      </c>
      <c r="B33" s="3">
        <v>13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11"/>
      <c r="O33" s="14"/>
    </row>
  </sheetData>
  <mergeCells count="12">
    <mergeCell ref="Q1:AE1"/>
    <mergeCell ref="C19:O19"/>
    <mergeCell ref="B19:B20"/>
    <mergeCell ref="A1:O1"/>
    <mergeCell ref="B2:B3"/>
    <mergeCell ref="Q2:Q3"/>
    <mergeCell ref="A2:A3"/>
    <mergeCell ref="R2:R3"/>
    <mergeCell ref="A18:O18"/>
    <mergeCell ref="S2:AE2"/>
    <mergeCell ref="A19:A20"/>
    <mergeCell ref="C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opLeftCell="A4" workbookViewId="0">
      <selection activeCell="B16" sqref="B16"/>
    </sheetView>
  </sheetViews>
  <sheetFormatPr baseColWidth="10" defaultRowHeight="14.25" x14ac:dyDescent="0.45"/>
  <cols>
    <col min="1" max="1" width="27.86328125" customWidth="1"/>
    <col min="2" max="2" width="22" customWidth="1"/>
    <col min="3" max="3" width="22.1328125" customWidth="1"/>
    <col min="4" max="4" width="25.19921875" customWidth="1"/>
    <col min="5" max="5" width="15.6640625" customWidth="1"/>
    <col min="6" max="6" width="10.33203125" customWidth="1"/>
  </cols>
  <sheetData>
    <row r="1" spans="1:6" x14ac:dyDescent="0.45">
      <c r="A1" s="27" t="s">
        <v>317</v>
      </c>
      <c r="B1" s="31" t="s">
        <v>318</v>
      </c>
      <c r="C1" s="28"/>
      <c r="D1" s="29"/>
      <c r="E1" s="4"/>
      <c r="F1" s="4"/>
    </row>
    <row r="2" spans="1:6" x14ac:dyDescent="0.45">
      <c r="A2" s="30"/>
      <c r="B2" s="4" t="s">
        <v>319</v>
      </c>
      <c r="C2" s="4" t="s">
        <v>320</v>
      </c>
      <c r="D2" s="4" t="s">
        <v>321</v>
      </c>
      <c r="E2" s="4" t="s">
        <v>322</v>
      </c>
      <c r="F2" s="3" t="s">
        <v>323</v>
      </c>
    </row>
    <row r="3" spans="1:6" x14ac:dyDescent="0.45">
      <c r="A3" s="8" t="s">
        <v>11</v>
      </c>
      <c r="B3" s="8">
        <v>1</v>
      </c>
      <c r="C3" s="8">
        <v>1</v>
      </c>
      <c r="D3" s="8">
        <v>1</v>
      </c>
      <c r="E3" s="8">
        <f t="shared" ref="E3:E15" si="0">SUM(B3:D3)</f>
        <v>3</v>
      </c>
      <c r="F3" s="9">
        <f t="shared" ref="F3:F15" si="1">E3/E$16</f>
        <v>1.098901098901099E-2</v>
      </c>
    </row>
    <row r="4" spans="1:6" x14ac:dyDescent="0.45">
      <c r="A4" s="8" t="s">
        <v>81</v>
      </c>
      <c r="B4" s="8">
        <v>2</v>
      </c>
      <c r="C4" s="8">
        <v>2</v>
      </c>
      <c r="D4" s="8">
        <v>7</v>
      </c>
      <c r="E4" s="8">
        <f t="shared" si="0"/>
        <v>11</v>
      </c>
      <c r="F4" s="9">
        <f t="shared" si="1"/>
        <v>4.0293040293040296E-2</v>
      </c>
    </row>
    <row r="5" spans="1:6" x14ac:dyDescent="0.45">
      <c r="A5" s="8" t="s">
        <v>102</v>
      </c>
      <c r="B5" s="8">
        <v>3</v>
      </c>
      <c r="C5" s="8">
        <v>5</v>
      </c>
      <c r="D5" s="8">
        <v>9</v>
      </c>
      <c r="E5" s="8">
        <f t="shared" si="0"/>
        <v>17</v>
      </c>
      <c r="F5" s="9">
        <f t="shared" si="1"/>
        <v>6.2271062271062272E-2</v>
      </c>
    </row>
    <row r="6" spans="1:6" x14ac:dyDescent="0.45">
      <c r="A6" s="8" t="s">
        <v>128</v>
      </c>
      <c r="B6" s="8">
        <v>9</v>
      </c>
      <c r="C6" s="8">
        <v>4</v>
      </c>
      <c r="D6" s="8">
        <v>4</v>
      </c>
      <c r="E6" s="8">
        <f t="shared" si="0"/>
        <v>17</v>
      </c>
      <c r="F6" s="9">
        <f t="shared" si="1"/>
        <v>6.2271062271062272E-2</v>
      </c>
    </row>
    <row r="7" spans="1:6" x14ac:dyDescent="0.45">
      <c r="A7" s="8" t="s">
        <v>162</v>
      </c>
      <c r="B7" s="8">
        <v>11</v>
      </c>
      <c r="C7" s="8">
        <v>3</v>
      </c>
      <c r="D7" s="8">
        <v>5</v>
      </c>
      <c r="E7" s="8">
        <f t="shared" si="0"/>
        <v>19</v>
      </c>
      <c r="F7" s="9">
        <f t="shared" si="1"/>
        <v>6.95970695970696E-2</v>
      </c>
    </row>
    <row r="8" spans="1:6" x14ac:dyDescent="0.45">
      <c r="A8" s="3" t="s">
        <v>179</v>
      </c>
      <c r="B8" s="3">
        <v>13</v>
      </c>
      <c r="C8" s="3">
        <v>7</v>
      </c>
      <c r="D8" s="3">
        <v>3</v>
      </c>
      <c r="E8" s="5">
        <f t="shared" si="0"/>
        <v>23</v>
      </c>
      <c r="F8" s="6">
        <f t="shared" si="1"/>
        <v>8.4249084249084255E-2</v>
      </c>
    </row>
    <row r="9" spans="1:6" x14ac:dyDescent="0.45">
      <c r="A9" s="3" t="s">
        <v>197</v>
      </c>
      <c r="B9" s="5">
        <v>6</v>
      </c>
      <c r="C9" s="5">
        <v>6</v>
      </c>
      <c r="D9" s="5">
        <v>12</v>
      </c>
      <c r="E9" s="5">
        <f t="shared" si="0"/>
        <v>24</v>
      </c>
      <c r="F9" s="6">
        <f t="shared" si="1"/>
        <v>8.7912087912087919E-2</v>
      </c>
    </row>
    <row r="10" spans="1:6" x14ac:dyDescent="0.45">
      <c r="A10" s="3" t="s">
        <v>217</v>
      </c>
      <c r="B10" s="5">
        <v>10</v>
      </c>
      <c r="C10" s="5">
        <v>8</v>
      </c>
      <c r="D10" s="5">
        <v>6</v>
      </c>
      <c r="E10" s="5">
        <f t="shared" si="0"/>
        <v>24</v>
      </c>
      <c r="F10" s="6">
        <f t="shared" si="1"/>
        <v>8.7912087912087919E-2</v>
      </c>
    </row>
    <row r="11" spans="1:6" x14ac:dyDescent="0.45">
      <c r="A11" s="3" t="s">
        <v>237</v>
      </c>
      <c r="B11" s="3">
        <v>5</v>
      </c>
      <c r="C11" s="3">
        <v>10</v>
      </c>
      <c r="D11" s="3">
        <v>10</v>
      </c>
      <c r="E11" s="5">
        <f t="shared" si="0"/>
        <v>25</v>
      </c>
      <c r="F11" s="6">
        <f t="shared" si="1"/>
        <v>9.1575091575091569E-2</v>
      </c>
    </row>
    <row r="12" spans="1:6" x14ac:dyDescent="0.45">
      <c r="A12" s="3" t="s">
        <v>253</v>
      </c>
      <c r="B12" s="3">
        <v>8</v>
      </c>
      <c r="C12" s="3">
        <v>9</v>
      </c>
      <c r="D12" s="3">
        <v>8</v>
      </c>
      <c r="E12" s="5">
        <f t="shared" si="0"/>
        <v>25</v>
      </c>
      <c r="F12" s="6">
        <f t="shared" si="1"/>
        <v>9.1575091575091569E-2</v>
      </c>
    </row>
    <row r="13" spans="1:6" x14ac:dyDescent="0.45">
      <c r="A13" s="3" t="s">
        <v>265</v>
      </c>
      <c r="B13" s="3">
        <v>12</v>
      </c>
      <c r="C13" s="3">
        <v>13</v>
      </c>
      <c r="D13" s="3">
        <v>2</v>
      </c>
      <c r="E13" s="5">
        <f t="shared" si="0"/>
        <v>27</v>
      </c>
      <c r="F13" s="6">
        <f t="shared" si="1"/>
        <v>9.8901098901098897E-2</v>
      </c>
    </row>
    <row r="14" spans="1:6" x14ac:dyDescent="0.45">
      <c r="A14" s="3" t="s">
        <v>279</v>
      </c>
      <c r="B14" s="3">
        <v>4</v>
      </c>
      <c r="C14" s="3">
        <v>11</v>
      </c>
      <c r="D14" s="3">
        <v>13</v>
      </c>
      <c r="E14" s="5">
        <f t="shared" si="0"/>
        <v>28</v>
      </c>
      <c r="F14" s="6">
        <f t="shared" si="1"/>
        <v>0.10256410256410256</v>
      </c>
    </row>
    <row r="15" spans="1:6" x14ac:dyDescent="0.45">
      <c r="A15" s="3" t="s">
        <v>294</v>
      </c>
      <c r="B15" s="5">
        <v>7</v>
      </c>
      <c r="C15" s="5">
        <v>12</v>
      </c>
      <c r="D15" s="5">
        <v>11</v>
      </c>
      <c r="E15" s="5">
        <f t="shared" si="0"/>
        <v>30</v>
      </c>
      <c r="F15" s="6">
        <f t="shared" si="1"/>
        <v>0.10989010989010989</v>
      </c>
    </row>
    <row r="16" spans="1:6" x14ac:dyDescent="0.45">
      <c r="A16" s="3"/>
      <c r="B16" s="3">
        <f>SUM(B3:B15)</f>
        <v>91</v>
      </c>
      <c r="C16" s="3">
        <f>SUM(C3:C15)</f>
        <v>91</v>
      </c>
      <c r="D16" s="3">
        <f>SUM(D3:D15)</f>
        <v>91</v>
      </c>
      <c r="E16" s="3">
        <f>SUM(E3:E15)</f>
        <v>273</v>
      </c>
      <c r="F16" s="6">
        <f>SUM(F3:F15)</f>
        <v>1</v>
      </c>
    </row>
    <row r="18" spans="5:5" x14ac:dyDescent="0.45">
      <c r="E18" t="s">
        <v>324</v>
      </c>
    </row>
  </sheetData>
  <mergeCells count="2">
    <mergeCell ref="B1:D1"/>
    <mergeCell ref="A1:A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3"/>
  <sheetViews>
    <sheetView tabSelected="1" topLeftCell="B3" zoomScaleNormal="100" workbookViewId="0">
      <selection activeCell="J5" sqref="J5"/>
    </sheetView>
  </sheetViews>
  <sheetFormatPr baseColWidth="10" defaultRowHeight="14.25" x14ac:dyDescent="0.45"/>
  <cols>
    <col min="1" max="1" width="36.19921875" customWidth="1"/>
    <col min="2" max="2" width="60.53125" customWidth="1"/>
    <col min="3" max="3" width="15.6640625" customWidth="1"/>
    <col min="4" max="4" width="19.33203125" customWidth="1"/>
    <col min="5" max="5" width="17.6640625" customWidth="1"/>
    <col min="7" max="7" width="16.46484375" customWidth="1"/>
    <col min="8" max="8" width="12" customWidth="1"/>
    <col min="9" max="9" width="13.46484375" customWidth="1"/>
    <col min="10" max="10" width="14" customWidth="1"/>
    <col min="11" max="11" width="20" customWidth="1"/>
  </cols>
  <sheetData>
    <row r="1" spans="1:11" x14ac:dyDescent="0.45">
      <c r="A1" s="15" t="s">
        <v>0</v>
      </c>
      <c r="B1" s="10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 ht="25.5" customHeight="1" x14ac:dyDescent="0.45">
      <c r="A2" s="15" t="s">
        <v>11</v>
      </c>
      <c r="B2" s="16" t="s">
        <v>12</v>
      </c>
      <c r="C2" s="17" t="s">
        <v>13</v>
      </c>
      <c r="D2" s="18" t="s">
        <v>13</v>
      </c>
      <c r="E2" s="18" t="s">
        <v>14</v>
      </c>
      <c r="F2" s="19"/>
      <c r="J2">
        <f t="shared" ref="J2:J65" si="0">SUM(G2:I2)</f>
        <v>0</v>
      </c>
    </row>
    <row r="3" spans="1:11" ht="25.5" customHeight="1" x14ac:dyDescent="0.45">
      <c r="A3" s="15" t="s">
        <v>11</v>
      </c>
      <c r="B3" s="16" t="s">
        <v>15</v>
      </c>
      <c r="C3" s="17" t="s">
        <v>14</v>
      </c>
      <c r="D3" s="18" t="s">
        <v>14</v>
      </c>
      <c r="E3" s="18" t="s">
        <v>14</v>
      </c>
      <c r="F3" s="19"/>
      <c r="J3">
        <f t="shared" si="0"/>
        <v>0</v>
      </c>
    </row>
    <row r="4" spans="1:11" ht="25.5" customHeight="1" x14ac:dyDescent="0.45">
      <c r="A4" s="15" t="s">
        <v>11</v>
      </c>
      <c r="B4" s="16" t="s">
        <v>16</v>
      </c>
      <c r="C4" s="17" t="s">
        <v>14</v>
      </c>
      <c r="D4" s="18" t="s">
        <v>14</v>
      </c>
      <c r="E4" s="18" t="s">
        <v>13</v>
      </c>
      <c r="F4" s="19"/>
      <c r="J4">
        <f t="shared" si="0"/>
        <v>0</v>
      </c>
    </row>
    <row r="5" spans="1:11" ht="25.5" customHeight="1" x14ac:dyDescent="0.45">
      <c r="A5" s="15" t="s">
        <v>11</v>
      </c>
      <c r="B5" s="16" t="s">
        <v>17</v>
      </c>
      <c r="C5" s="17" t="s">
        <v>14</v>
      </c>
      <c r="D5" s="20" t="s">
        <v>14</v>
      </c>
      <c r="E5" s="20" t="s">
        <v>14</v>
      </c>
      <c r="F5" s="21"/>
      <c r="J5">
        <f t="shared" si="0"/>
        <v>0</v>
      </c>
    </row>
    <row r="6" spans="1:11" ht="42.75" customHeight="1" x14ac:dyDescent="0.45">
      <c r="A6" s="15" t="s">
        <v>11</v>
      </c>
      <c r="B6" s="16" t="s">
        <v>18</v>
      </c>
      <c r="C6" s="17" t="s">
        <v>13</v>
      </c>
      <c r="D6" s="18" t="s">
        <v>14</v>
      </c>
      <c r="E6" s="18" t="s">
        <v>14</v>
      </c>
      <c r="F6" s="19" t="s">
        <v>19</v>
      </c>
      <c r="J6">
        <f t="shared" si="0"/>
        <v>0</v>
      </c>
    </row>
    <row r="7" spans="1:11" ht="25.5" customHeight="1" x14ac:dyDescent="0.45">
      <c r="A7" s="15" t="s">
        <v>11</v>
      </c>
      <c r="B7" s="16" t="s">
        <v>20</v>
      </c>
      <c r="C7" s="17" t="s">
        <v>14</v>
      </c>
      <c r="D7" s="18" t="s">
        <v>14</v>
      </c>
      <c r="E7" s="18" t="s">
        <v>14</v>
      </c>
      <c r="F7" s="19"/>
      <c r="H7">
        <v>2</v>
      </c>
      <c r="J7">
        <f t="shared" si="0"/>
        <v>2</v>
      </c>
      <c r="K7" t="s">
        <v>14</v>
      </c>
    </row>
    <row r="8" spans="1:11" ht="25.5" customHeight="1" x14ac:dyDescent="0.45">
      <c r="A8" s="15" t="s">
        <v>11</v>
      </c>
      <c r="B8" s="16" t="s">
        <v>21</v>
      </c>
      <c r="C8" s="17" t="s">
        <v>14</v>
      </c>
      <c r="D8" s="18" t="s">
        <v>14</v>
      </c>
      <c r="E8" s="18" t="s">
        <v>13</v>
      </c>
      <c r="F8" s="19"/>
      <c r="J8">
        <f t="shared" si="0"/>
        <v>0</v>
      </c>
    </row>
    <row r="9" spans="1:11" ht="99.75" customHeight="1" x14ac:dyDescent="0.45">
      <c r="A9" s="15" t="s">
        <v>11</v>
      </c>
      <c r="B9" s="16" t="s">
        <v>22</v>
      </c>
      <c r="C9" s="17" t="s">
        <v>14</v>
      </c>
      <c r="D9" s="18" t="s">
        <v>14</v>
      </c>
      <c r="E9" s="18" t="s">
        <v>13</v>
      </c>
      <c r="F9" s="19" t="s">
        <v>23</v>
      </c>
      <c r="J9">
        <f t="shared" si="0"/>
        <v>0</v>
      </c>
    </row>
    <row r="10" spans="1:11" ht="25.5" customHeight="1" x14ac:dyDescent="0.45">
      <c r="A10" s="15" t="s">
        <v>11</v>
      </c>
      <c r="B10" s="16" t="s">
        <v>24</v>
      </c>
      <c r="C10" s="17" t="s">
        <v>14</v>
      </c>
      <c r="D10" s="18" t="s">
        <v>14</v>
      </c>
      <c r="E10" s="18" t="s">
        <v>14</v>
      </c>
      <c r="F10" s="19"/>
      <c r="H10">
        <v>1</v>
      </c>
      <c r="J10">
        <f t="shared" si="0"/>
        <v>1</v>
      </c>
      <c r="K10" t="s">
        <v>14</v>
      </c>
    </row>
    <row r="11" spans="1:11" ht="25.5" customHeight="1" x14ac:dyDescent="0.45">
      <c r="A11" s="15" t="s">
        <v>11</v>
      </c>
      <c r="B11" s="16" t="s">
        <v>25</v>
      </c>
      <c r="C11" s="17" t="s">
        <v>14</v>
      </c>
      <c r="D11" s="20" t="s">
        <v>14</v>
      </c>
      <c r="E11" s="20" t="s">
        <v>14</v>
      </c>
      <c r="F11" s="21"/>
      <c r="G11">
        <v>3</v>
      </c>
      <c r="H11">
        <v>3</v>
      </c>
      <c r="J11">
        <f t="shared" si="0"/>
        <v>6</v>
      </c>
      <c r="K11" t="s">
        <v>14</v>
      </c>
    </row>
    <row r="12" spans="1:11" ht="38.25" customHeight="1" x14ac:dyDescent="0.45">
      <c r="A12" s="15" t="s">
        <v>11</v>
      </c>
      <c r="B12" s="16" t="s">
        <v>26</v>
      </c>
      <c r="C12" s="17" t="s">
        <v>13</v>
      </c>
      <c r="D12" s="18" t="s">
        <v>13</v>
      </c>
      <c r="E12" s="18" t="s">
        <v>14</v>
      </c>
      <c r="F12" s="19"/>
      <c r="J12">
        <f t="shared" si="0"/>
        <v>0</v>
      </c>
    </row>
    <row r="13" spans="1:11" ht="25.5" customHeight="1" x14ac:dyDescent="0.45">
      <c r="A13" s="15" t="s">
        <v>11</v>
      </c>
      <c r="B13" s="16" t="s">
        <v>27</v>
      </c>
      <c r="C13" s="17" t="s">
        <v>14</v>
      </c>
      <c r="D13" s="18" t="s">
        <v>14</v>
      </c>
      <c r="E13" s="18" t="s">
        <v>14</v>
      </c>
      <c r="F13" s="19"/>
      <c r="H13">
        <v>1</v>
      </c>
      <c r="J13">
        <f t="shared" si="0"/>
        <v>1</v>
      </c>
      <c r="K13" t="s">
        <v>14</v>
      </c>
    </row>
    <row r="14" spans="1:11" ht="25.5" customHeight="1" x14ac:dyDescent="0.45">
      <c r="A14" s="15" t="s">
        <v>11</v>
      </c>
      <c r="B14" s="16" t="s">
        <v>28</v>
      </c>
      <c r="C14" s="17" t="s">
        <v>14</v>
      </c>
      <c r="D14" s="18" t="s">
        <v>14</v>
      </c>
      <c r="E14" s="18" t="s">
        <v>14</v>
      </c>
      <c r="F14" s="19"/>
      <c r="H14">
        <v>3</v>
      </c>
      <c r="I14">
        <v>1</v>
      </c>
      <c r="J14">
        <f t="shared" si="0"/>
        <v>4</v>
      </c>
      <c r="K14" t="s">
        <v>14</v>
      </c>
    </row>
    <row r="15" spans="1:11" ht="25.5" customHeight="1" x14ac:dyDescent="0.45">
      <c r="A15" s="15" t="s">
        <v>11</v>
      </c>
      <c r="B15" s="16" t="s">
        <v>29</v>
      </c>
      <c r="C15" s="17" t="s">
        <v>14</v>
      </c>
      <c r="D15" s="18" t="s">
        <v>14</v>
      </c>
      <c r="E15" s="18" t="s">
        <v>14</v>
      </c>
      <c r="F15" s="19"/>
      <c r="G15">
        <v>1</v>
      </c>
      <c r="J15">
        <f t="shared" si="0"/>
        <v>1</v>
      </c>
      <c r="K15" t="s">
        <v>14</v>
      </c>
    </row>
    <row r="16" spans="1:11" ht="25.5" customHeight="1" x14ac:dyDescent="0.45">
      <c r="A16" s="15" t="s">
        <v>11</v>
      </c>
      <c r="B16" s="16" t="s">
        <v>30</v>
      </c>
      <c r="C16" s="17" t="s">
        <v>14</v>
      </c>
      <c r="D16" s="20" t="s">
        <v>14</v>
      </c>
      <c r="E16" s="20" t="s">
        <v>14</v>
      </c>
      <c r="F16" s="21"/>
      <c r="G16">
        <v>2</v>
      </c>
      <c r="J16">
        <f t="shared" si="0"/>
        <v>2</v>
      </c>
      <c r="K16" t="s">
        <v>14</v>
      </c>
    </row>
    <row r="17" spans="1:11" ht="25.5" customHeight="1" x14ac:dyDescent="0.45">
      <c r="A17" s="15" t="s">
        <v>11</v>
      </c>
      <c r="B17" s="16" t="s">
        <v>31</v>
      </c>
      <c r="C17" s="17" t="s">
        <v>14</v>
      </c>
      <c r="D17" s="18" t="s">
        <v>14</v>
      </c>
      <c r="E17" s="18" t="s">
        <v>14</v>
      </c>
      <c r="F17" s="19"/>
      <c r="J17">
        <f t="shared" si="0"/>
        <v>0</v>
      </c>
    </row>
    <row r="18" spans="1:11" ht="57" customHeight="1" x14ac:dyDescent="0.45">
      <c r="A18" s="15" t="s">
        <v>11</v>
      </c>
      <c r="B18" s="16" t="s">
        <v>32</v>
      </c>
      <c r="C18" s="17" t="s">
        <v>13</v>
      </c>
      <c r="D18" s="18" t="s">
        <v>13</v>
      </c>
      <c r="E18" s="18" t="s">
        <v>13</v>
      </c>
      <c r="F18" s="19" t="s">
        <v>33</v>
      </c>
      <c r="J18">
        <f t="shared" si="0"/>
        <v>0</v>
      </c>
    </row>
    <row r="19" spans="1:11" ht="25.5" customHeight="1" x14ac:dyDescent="0.45">
      <c r="A19" s="15" t="s">
        <v>11</v>
      </c>
      <c r="B19" s="16" t="s">
        <v>34</v>
      </c>
      <c r="C19" s="17" t="s">
        <v>14</v>
      </c>
      <c r="D19" s="20" t="s">
        <v>14</v>
      </c>
      <c r="E19" s="20" t="s">
        <v>14</v>
      </c>
      <c r="F19" s="21"/>
      <c r="G19">
        <v>1</v>
      </c>
      <c r="I19">
        <v>2</v>
      </c>
      <c r="J19">
        <f t="shared" si="0"/>
        <v>3</v>
      </c>
      <c r="K19" t="s">
        <v>14</v>
      </c>
    </row>
    <row r="20" spans="1:11" ht="38.25" customHeight="1" x14ac:dyDescent="0.45">
      <c r="A20" s="15" t="s">
        <v>11</v>
      </c>
      <c r="B20" s="16" t="s">
        <v>35</v>
      </c>
      <c r="C20" s="17" t="s">
        <v>13</v>
      </c>
      <c r="D20" s="18" t="s">
        <v>13</v>
      </c>
      <c r="E20" s="18" t="s">
        <v>13</v>
      </c>
      <c r="F20" s="19"/>
      <c r="J20">
        <f t="shared" si="0"/>
        <v>0</v>
      </c>
    </row>
    <row r="21" spans="1:11" ht="38.25" customHeight="1" x14ac:dyDescent="0.45">
      <c r="A21" s="15" t="s">
        <v>11</v>
      </c>
      <c r="B21" s="16" t="s">
        <v>36</v>
      </c>
      <c r="C21" s="17" t="s">
        <v>14</v>
      </c>
      <c r="D21" s="20" t="s">
        <v>14</v>
      </c>
      <c r="E21" s="20" t="s">
        <v>14</v>
      </c>
      <c r="F21" s="21"/>
      <c r="G21">
        <v>1</v>
      </c>
      <c r="J21">
        <f t="shared" si="0"/>
        <v>1</v>
      </c>
      <c r="K21" t="s">
        <v>13</v>
      </c>
    </row>
    <row r="22" spans="1:11" ht="25.5" customHeight="1" x14ac:dyDescent="0.45">
      <c r="A22" s="15" t="s">
        <v>11</v>
      </c>
      <c r="B22" s="16" t="s">
        <v>37</v>
      </c>
      <c r="C22" s="17" t="s">
        <v>13</v>
      </c>
      <c r="D22" s="18" t="s">
        <v>13</v>
      </c>
      <c r="E22" s="18" t="s">
        <v>14</v>
      </c>
      <c r="F22" s="19"/>
      <c r="J22">
        <f t="shared" si="0"/>
        <v>0</v>
      </c>
    </row>
    <row r="23" spans="1:11" ht="57" customHeight="1" x14ac:dyDescent="0.45">
      <c r="A23" s="15" t="s">
        <v>11</v>
      </c>
      <c r="B23" s="16" t="s">
        <v>38</v>
      </c>
      <c r="C23" s="17" t="s">
        <v>14</v>
      </c>
      <c r="D23" s="18" t="s">
        <v>14</v>
      </c>
      <c r="E23" s="18" t="s">
        <v>13</v>
      </c>
      <c r="F23" s="19" t="s">
        <v>39</v>
      </c>
      <c r="J23">
        <f t="shared" si="0"/>
        <v>0</v>
      </c>
    </row>
    <row r="24" spans="1:11" ht="25.5" customHeight="1" x14ac:dyDescent="0.45">
      <c r="A24" s="15" t="s">
        <v>11</v>
      </c>
      <c r="B24" s="16" t="s">
        <v>40</v>
      </c>
      <c r="C24" s="17" t="s">
        <v>13</v>
      </c>
      <c r="D24" s="18" t="s">
        <v>13</v>
      </c>
      <c r="E24" s="18" t="s">
        <v>13</v>
      </c>
      <c r="F24" s="19"/>
      <c r="J24">
        <f t="shared" si="0"/>
        <v>0</v>
      </c>
    </row>
    <row r="25" spans="1:11" ht="25.5" customHeight="1" x14ac:dyDescent="0.45">
      <c r="A25" s="15" t="s">
        <v>11</v>
      </c>
      <c r="B25" s="16" t="s">
        <v>41</v>
      </c>
      <c r="C25" s="17" t="s">
        <v>13</v>
      </c>
      <c r="D25" s="18" t="s">
        <v>13</v>
      </c>
      <c r="E25" s="18" t="s">
        <v>13</v>
      </c>
      <c r="F25" s="19"/>
      <c r="J25">
        <f t="shared" si="0"/>
        <v>0</v>
      </c>
    </row>
    <row r="26" spans="1:11" ht="25.5" customHeight="1" x14ac:dyDescent="0.45">
      <c r="A26" s="15" t="s">
        <v>11</v>
      </c>
      <c r="B26" s="16" t="s">
        <v>42</v>
      </c>
      <c r="C26" s="17" t="s">
        <v>13</v>
      </c>
      <c r="D26" s="18" t="s">
        <v>13</v>
      </c>
      <c r="E26" s="18" t="s">
        <v>13</v>
      </c>
      <c r="F26" s="19"/>
      <c r="J26">
        <f t="shared" si="0"/>
        <v>0</v>
      </c>
    </row>
    <row r="27" spans="1:11" ht="25.5" customHeight="1" x14ac:dyDescent="0.45">
      <c r="A27" s="15" t="s">
        <v>11</v>
      </c>
      <c r="B27" s="16" t="s">
        <v>43</v>
      </c>
      <c r="C27" s="17" t="s">
        <v>14</v>
      </c>
      <c r="D27" s="20" t="s">
        <v>14</v>
      </c>
      <c r="E27" s="20" t="s">
        <v>14</v>
      </c>
      <c r="F27" s="21"/>
      <c r="G27">
        <v>4</v>
      </c>
      <c r="J27">
        <f t="shared" si="0"/>
        <v>4</v>
      </c>
      <c r="K27" t="s">
        <v>14</v>
      </c>
    </row>
    <row r="28" spans="1:11" x14ac:dyDescent="0.45">
      <c r="A28" s="15" t="s">
        <v>11</v>
      </c>
      <c r="B28" s="16" t="s">
        <v>44</v>
      </c>
      <c r="C28" s="17" t="s">
        <v>14</v>
      </c>
      <c r="D28" s="18" t="s">
        <v>14</v>
      </c>
      <c r="E28" s="18" t="s">
        <v>14</v>
      </c>
      <c r="F28" s="19"/>
      <c r="I28">
        <v>1</v>
      </c>
      <c r="J28">
        <f t="shared" si="0"/>
        <v>1</v>
      </c>
      <c r="K28" t="s">
        <v>14</v>
      </c>
    </row>
    <row r="29" spans="1:11" ht="25.5" customHeight="1" x14ac:dyDescent="0.45">
      <c r="A29" s="15" t="s">
        <v>11</v>
      </c>
      <c r="B29" s="16" t="s">
        <v>45</v>
      </c>
      <c r="C29" s="17" t="s">
        <v>13</v>
      </c>
      <c r="D29" s="18" t="s">
        <v>13</v>
      </c>
      <c r="E29" s="18" t="s">
        <v>13</v>
      </c>
      <c r="F29" s="19"/>
      <c r="J29">
        <f t="shared" si="0"/>
        <v>0</v>
      </c>
    </row>
    <row r="30" spans="1:11" x14ac:dyDescent="0.45">
      <c r="A30" s="15" t="s">
        <v>11</v>
      </c>
      <c r="B30" s="16" t="s">
        <v>46</v>
      </c>
      <c r="C30" s="17" t="s">
        <v>13</v>
      </c>
      <c r="D30" s="18" t="s">
        <v>13</v>
      </c>
      <c r="E30" s="18" t="s">
        <v>13</v>
      </c>
      <c r="F30" s="19"/>
      <c r="J30">
        <f t="shared" si="0"/>
        <v>0</v>
      </c>
    </row>
    <row r="31" spans="1:11" ht="25.5" customHeight="1" x14ac:dyDescent="0.45">
      <c r="A31" s="15" t="s">
        <v>11</v>
      </c>
      <c r="B31" s="16" t="s">
        <v>47</v>
      </c>
      <c r="C31" s="17" t="s">
        <v>13</v>
      </c>
      <c r="D31" s="18" t="s">
        <v>13</v>
      </c>
      <c r="E31" s="18" t="s">
        <v>13</v>
      </c>
      <c r="F31" s="19"/>
      <c r="J31">
        <f t="shared" si="0"/>
        <v>0</v>
      </c>
    </row>
    <row r="32" spans="1:11" ht="25.5" customHeight="1" x14ac:dyDescent="0.45">
      <c r="A32" s="15" t="s">
        <v>11</v>
      </c>
      <c r="B32" s="16" t="s">
        <v>48</v>
      </c>
      <c r="C32" s="17" t="s">
        <v>13</v>
      </c>
      <c r="D32" s="18" t="s">
        <v>13</v>
      </c>
      <c r="E32" s="18" t="s">
        <v>13</v>
      </c>
      <c r="F32" s="19"/>
      <c r="J32">
        <f t="shared" si="0"/>
        <v>0</v>
      </c>
    </row>
    <row r="33" spans="1:11" ht="57" customHeight="1" x14ac:dyDescent="0.45">
      <c r="A33" s="15" t="s">
        <v>11</v>
      </c>
      <c r="B33" s="16" t="s">
        <v>49</v>
      </c>
      <c r="C33" s="17" t="s">
        <v>14</v>
      </c>
      <c r="D33" s="18" t="s">
        <v>14</v>
      </c>
      <c r="E33" s="18" t="s">
        <v>13</v>
      </c>
      <c r="F33" s="19" t="s">
        <v>50</v>
      </c>
      <c r="J33">
        <f t="shared" si="0"/>
        <v>0</v>
      </c>
    </row>
    <row r="34" spans="1:11" ht="25.5" customHeight="1" x14ac:dyDescent="0.45">
      <c r="A34" s="15" t="s">
        <v>11</v>
      </c>
      <c r="B34" s="16" t="s">
        <v>51</v>
      </c>
      <c r="C34" s="17" t="s">
        <v>13</v>
      </c>
      <c r="D34" s="18" t="s">
        <v>13</v>
      </c>
      <c r="E34" s="18" t="s">
        <v>14</v>
      </c>
      <c r="F34" s="19"/>
      <c r="J34">
        <f t="shared" si="0"/>
        <v>0</v>
      </c>
    </row>
    <row r="35" spans="1:11" ht="25.5" customHeight="1" x14ac:dyDescent="0.45">
      <c r="A35" s="15" t="s">
        <v>11</v>
      </c>
      <c r="B35" s="16" t="s">
        <v>52</v>
      </c>
      <c r="C35" s="17" t="s">
        <v>14</v>
      </c>
      <c r="D35" s="20" t="s">
        <v>14</v>
      </c>
      <c r="E35" s="20" t="s">
        <v>14</v>
      </c>
      <c r="F35" s="21"/>
      <c r="H35">
        <v>4</v>
      </c>
      <c r="J35">
        <f t="shared" si="0"/>
        <v>4</v>
      </c>
      <c r="K35" t="s">
        <v>14</v>
      </c>
    </row>
    <row r="36" spans="1:11" ht="28.5" customHeight="1" x14ac:dyDescent="0.45">
      <c r="A36" s="15" t="s">
        <v>11</v>
      </c>
      <c r="B36" s="16" t="s">
        <v>53</v>
      </c>
      <c r="C36" s="17" t="s">
        <v>13</v>
      </c>
      <c r="D36" s="18" t="s">
        <v>13</v>
      </c>
      <c r="E36" s="18" t="s">
        <v>14</v>
      </c>
      <c r="F36" s="19" t="s">
        <v>54</v>
      </c>
      <c r="J36">
        <f t="shared" si="0"/>
        <v>0</v>
      </c>
    </row>
    <row r="37" spans="1:11" ht="57" customHeight="1" x14ac:dyDescent="0.45">
      <c r="A37" s="15" t="s">
        <v>11</v>
      </c>
      <c r="B37" s="16" t="s">
        <v>55</v>
      </c>
      <c r="C37" s="17" t="s">
        <v>14</v>
      </c>
      <c r="D37" s="20" t="s">
        <v>14</v>
      </c>
      <c r="E37" s="20" t="s">
        <v>14</v>
      </c>
      <c r="F37" s="21" t="s">
        <v>56</v>
      </c>
      <c r="H37">
        <v>4</v>
      </c>
      <c r="J37">
        <f t="shared" si="0"/>
        <v>4</v>
      </c>
      <c r="K37" t="s">
        <v>14</v>
      </c>
    </row>
    <row r="38" spans="1:11" ht="25.5" customHeight="1" x14ac:dyDescent="0.45">
      <c r="A38" s="15" t="s">
        <v>11</v>
      </c>
      <c r="B38" s="16" t="s">
        <v>57</v>
      </c>
      <c r="C38" s="17" t="s">
        <v>13</v>
      </c>
      <c r="D38" s="18" t="s">
        <v>13</v>
      </c>
      <c r="E38" s="18" t="s">
        <v>13</v>
      </c>
      <c r="F38" s="19"/>
      <c r="J38">
        <f t="shared" si="0"/>
        <v>0</v>
      </c>
    </row>
    <row r="39" spans="1:11" ht="42.75" customHeight="1" x14ac:dyDescent="0.45">
      <c r="A39" s="15" t="s">
        <v>11</v>
      </c>
      <c r="B39" s="16" t="s">
        <v>58</v>
      </c>
      <c r="C39" s="17" t="s">
        <v>14</v>
      </c>
      <c r="D39" s="18" t="s">
        <v>13</v>
      </c>
      <c r="E39" s="18" t="s">
        <v>13</v>
      </c>
      <c r="F39" s="19" t="s">
        <v>59</v>
      </c>
      <c r="J39">
        <f t="shared" si="0"/>
        <v>0</v>
      </c>
    </row>
    <row r="40" spans="1:11" ht="25.5" customHeight="1" x14ac:dyDescent="0.45">
      <c r="A40" s="15" t="s">
        <v>11</v>
      </c>
      <c r="B40" s="16" t="s">
        <v>60</v>
      </c>
      <c r="C40" s="17" t="s">
        <v>13</v>
      </c>
      <c r="D40" s="18" t="s">
        <v>13</v>
      </c>
      <c r="E40" s="18" t="s">
        <v>13</v>
      </c>
      <c r="F40" s="19"/>
      <c r="J40">
        <f t="shared" si="0"/>
        <v>0</v>
      </c>
    </row>
    <row r="41" spans="1:11" ht="25.5" customHeight="1" x14ac:dyDescent="0.45">
      <c r="A41" s="15" t="s">
        <v>11</v>
      </c>
      <c r="B41" s="16" t="s">
        <v>61</v>
      </c>
      <c r="C41" s="17" t="s">
        <v>14</v>
      </c>
      <c r="D41" s="18" t="s">
        <v>14</v>
      </c>
      <c r="E41" s="18" t="s">
        <v>13</v>
      </c>
      <c r="F41" s="19"/>
      <c r="J41">
        <f t="shared" si="0"/>
        <v>0</v>
      </c>
    </row>
    <row r="42" spans="1:11" ht="25.5" customHeight="1" x14ac:dyDescent="0.45">
      <c r="A42" s="15" t="s">
        <v>11</v>
      </c>
      <c r="B42" s="16" t="s">
        <v>62</v>
      </c>
      <c r="C42" s="17" t="s">
        <v>14</v>
      </c>
      <c r="D42" s="18" t="s">
        <v>14</v>
      </c>
      <c r="E42" s="18" t="s">
        <v>14</v>
      </c>
      <c r="F42" s="19"/>
      <c r="J42">
        <f t="shared" si="0"/>
        <v>0</v>
      </c>
    </row>
    <row r="43" spans="1:11" ht="25.5" customHeight="1" x14ac:dyDescent="0.45">
      <c r="A43" s="15" t="s">
        <v>11</v>
      </c>
      <c r="B43" s="16" t="s">
        <v>63</v>
      </c>
      <c r="C43" s="17" t="s">
        <v>14</v>
      </c>
      <c r="D43" s="20" t="s">
        <v>14</v>
      </c>
      <c r="E43" s="20" t="s">
        <v>14</v>
      </c>
      <c r="F43" s="21"/>
      <c r="G43">
        <v>1</v>
      </c>
      <c r="J43">
        <f t="shared" si="0"/>
        <v>1</v>
      </c>
      <c r="K43" t="s">
        <v>13</v>
      </c>
    </row>
    <row r="44" spans="1:11" ht="25.5" customHeight="1" x14ac:dyDescent="0.45">
      <c r="A44" s="15" t="s">
        <v>11</v>
      </c>
      <c r="B44" s="16" t="s">
        <v>64</v>
      </c>
      <c r="C44" s="17" t="s">
        <v>14</v>
      </c>
      <c r="D44" s="20" t="s">
        <v>14</v>
      </c>
      <c r="E44" s="20" t="s">
        <v>14</v>
      </c>
      <c r="F44" s="21"/>
      <c r="G44">
        <v>5</v>
      </c>
      <c r="H44">
        <v>5</v>
      </c>
      <c r="J44">
        <f t="shared" si="0"/>
        <v>10</v>
      </c>
      <c r="K44" t="s">
        <v>14</v>
      </c>
    </row>
    <row r="45" spans="1:11" ht="25.5" customHeight="1" x14ac:dyDescent="0.45">
      <c r="A45" s="15" t="s">
        <v>11</v>
      </c>
      <c r="B45" s="16" t="s">
        <v>65</v>
      </c>
      <c r="C45" s="17" t="s">
        <v>14</v>
      </c>
      <c r="D45" s="18" t="s">
        <v>14</v>
      </c>
      <c r="E45" s="18" t="s">
        <v>14</v>
      </c>
      <c r="F45" s="19"/>
      <c r="G45">
        <v>4</v>
      </c>
      <c r="J45">
        <f t="shared" si="0"/>
        <v>4</v>
      </c>
      <c r="K45" t="s">
        <v>14</v>
      </c>
    </row>
    <row r="46" spans="1:11" ht="25.5" customHeight="1" x14ac:dyDescent="0.45">
      <c r="A46" s="15" t="s">
        <v>11</v>
      </c>
      <c r="B46" s="16" t="s">
        <v>66</v>
      </c>
      <c r="C46" s="17" t="s">
        <v>14</v>
      </c>
      <c r="D46" s="20" t="s">
        <v>14</v>
      </c>
      <c r="E46" s="20" t="s">
        <v>14</v>
      </c>
      <c r="F46" s="21"/>
      <c r="G46">
        <v>3</v>
      </c>
      <c r="J46">
        <f t="shared" si="0"/>
        <v>3</v>
      </c>
      <c r="K46" t="s">
        <v>14</v>
      </c>
    </row>
    <row r="47" spans="1:11" ht="25.5" customHeight="1" x14ac:dyDescent="0.45">
      <c r="A47" s="15" t="s">
        <v>11</v>
      </c>
      <c r="B47" s="16" t="s">
        <v>67</v>
      </c>
      <c r="C47" s="17" t="s">
        <v>14</v>
      </c>
      <c r="D47" s="20" t="s">
        <v>14</v>
      </c>
      <c r="E47" s="20" t="s">
        <v>14</v>
      </c>
      <c r="F47" s="21"/>
      <c r="J47">
        <f t="shared" si="0"/>
        <v>0</v>
      </c>
    </row>
    <row r="48" spans="1:11" ht="25.5" customHeight="1" x14ac:dyDescent="0.45">
      <c r="A48" s="15" t="s">
        <v>11</v>
      </c>
      <c r="B48" s="16" t="s">
        <v>68</v>
      </c>
      <c r="C48" s="17" t="s">
        <v>14</v>
      </c>
      <c r="D48" s="20" t="s">
        <v>14</v>
      </c>
      <c r="E48" s="20" t="s">
        <v>14</v>
      </c>
      <c r="F48" s="21"/>
      <c r="J48">
        <f t="shared" si="0"/>
        <v>0</v>
      </c>
    </row>
    <row r="49" spans="1:11" ht="25.5" customHeight="1" x14ac:dyDescent="0.45">
      <c r="A49" s="15" t="s">
        <v>11</v>
      </c>
      <c r="B49" s="16" t="s">
        <v>69</v>
      </c>
      <c r="C49" s="17" t="s">
        <v>14</v>
      </c>
      <c r="D49" s="20" t="s">
        <v>14</v>
      </c>
      <c r="E49" s="20" t="s">
        <v>14</v>
      </c>
      <c r="F49" s="21"/>
      <c r="I49">
        <v>5</v>
      </c>
      <c r="J49">
        <f t="shared" si="0"/>
        <v>5</v>
      </c>
      <c r="K49" t="s">
        <v>14</v>
      </c>
    </row>
    <row r="50" spans="1:11" ht="25.5" customHeight="1" x14ac:dyDescent="0.45">
      <c r="A50" s="15" t="s">
        <v>11</v>
      </c>
      <c r="B50" s="16" t="s">
        <v>70</v>
      </c>
      <c r="C50" s="17" t="s">
        <v>14</v>
      </c>
      <c r="D50" s="18" t="s">
        <v>13</v>
      </c>
      <c r="E50" s="18" t="s">
        <v>14</v>
      </c>
      <c r="F50" s="19"/>
      <c r="J50">
        <f t="shared" si="0"/>
        <v>0</v>
      </c>
    </row>
    <row r="51" spans="1:11" ht="25.5" customHeight="1" x14ac:dyDescent="0.45">
      <c r="A51" s="15" t="s">
        <v>11</v>
      </c>
      <c r="B51" s="16" t="s">
        <v>71</v>
      </c>
      <c r="C51" s="17" t="s">
        <v>14</v>
      </c>
      <c r="D51" s="18" t="s">
        <v>14</v>
      </c>
      <c r="E51" s="18" t="s">
        <v>13</v>
      </c>
      <c r="F51" s="19"/>
      <c r="J51">
        <f t="shared" si="0"/>
        <v>0</v>
      </c>
    </row>
    <row r="52" spans="1:11" ht="25.5" customHeight="1" x14ac:dyDescent="0.45">
      <c r="A52" s="15" t="s">
        <v>11</v>
      </c>
      <c r="B52" s="16" t="s">
        <v>72</v>
      </c>
      <c r="C52" s="17" t="s">
        <v>14</v>
      </c>
      <c r="D52" s="18" t="s">
        <v>14</v>
      </c>
      <c r="E52" s="18" t="s">
        <v>13</v>
      </c>
      <c r="F52" s="19"/>
      <c r="J52">
        <f t="shared" si="0"/>
        <v>0</v>
      </c>
    </row>
    <row r="53" spans="1:11" ht="25.5" customHeight="1" x14ac:dyDescent="0.45">
      <c r="A53" s="15" t="s">
        <v>11</v>
      </c>
      <c r="B53" s="16" t="s">
        <v>73</v>
      </c>
      <c r="C53" s="17" t="s">
        <v>14</v>
      </c>
      <c r="D53" s="18" t="s">
        <v>14</v>
      </c>
      <c r="E53" s="18" t="s">
        <v>14</v>
      </c>
      <c r="F53" s="19"/>
      <c r="J53">
        <f t="shared" si="0"/>
        <v>0</v>
      </c>
    </row>
    <row r="54" spans="1:11" ht="28.5" customHeight="1" x14ac:dyDescent="0.45">
      <c r="A54" s="15" t="s">
        <v>11</v>
      </c>
      <c r="B54" s="16" t="s">
        <v>74</v>
      </c>
      <c r="C54" s="17" t="s">
        <v>13</v>
      </c>
      <c r="D54" s="18" t="s">
        <v>13</v>
      </c>
      <c r="E54" s="18" t="s">
        <v>13</v>
      </c>
      <c r="F54" s="19" t="s">
        <v>75</v>
      </c>
      <c r="J54">
        <f t="shared" si="0"/>
        <v>0</v>
      </c>
    </row>
    <row r="55" spans="1:11" ht="25.5" customHeight="1" x14ac:dyDescent="0.45">
      <c r="A55" s="15" t="s">
        <v>11</v>
      </c>
      <c r="B55" s="16" t="s">
        <v>76</v>
      </c>
      <c r="C55" s="17" t="s">
        <v>14</v>
      </c>
      <c r="D55" s="18" t="s">
        <v>14</v>
      </c>
      <c r="E55" s="18" t="s">
        <v>13</v>
      </c>
      <c r="F55" s="19"/>
      <c r="J55">
        <f t="shared" si="0"/>
        <v>0</v>
      </c>
    </row>
    <row r="56" spans="1:11" ht="42.75" customHeight="1" x14ac:dyDescent="0.45">
      <c r="A56" s="15" t="s">
        <v>11</v>
      </c>
      <c r="B56" s="16" t="s">
        <v>77</v>
      </c>
      <c r="C56" s="17" t="s">
        <v>13</v>
      </c>
      <c r="D56" s="18" t="s">
        <v>13</v>
      </c>
      <c r="E56" s="18" t="s">
        <v>13</v>
      </c>
      <c r="F56" s="19" t="s">
        <v>78</v>
      </c>
      <c r="J56">
        <f t="shared" si="0"/>
        <v>0</v>
      </c>
    </row>
    <row r="57" spans="1:11" ht="25.5" customHeight="1" x14ac:dyDescent="0.45">
      <c r="A57" s="15" t="s">
        <v>11</v>
      </c>
      <c r="B57" s="16" t="s">
        <v>79</v>
      </c>
      <c r="C57" s="17" t="s">
        <v>14</v>
      </c>
      <c r="D57" s="18" t="s">
        <v>14</v>
      </c>
      <c r="E57" s="18" t="s">
        <v>13</v>
      </c>
      <c r="F57" s="19"/>
      <c r="I57">
        <v>3</v>
      </c>
      <c r="J57">
        <f t="shared" si="0"/>
        <v>3</v>
      </c>
      <c r="K57" t="s">
        <v>14</v>
      </c>
    </row>
    <row r="58" spans="1:11" ht="25.5" customHeight="1" x14ac:dyDescent="0.45">
      <c r="A58" s="15" t="s">
        <v>11</v>
      </c>
      <c r="B58" s="16" t="s">
        <v>80</v>
      </c>
      <c r="C58" s="17" t="s">
        <v>14</v>
      </c>
      <c r="D58" s="18" t="s">
        <v>14</v>
      </c>
      <c r="E58" s="18" t="s">
        <v>14</v>
      </c>
      <c r="F58" s="19"/>
      <c r="G58">
        <v>2</v>
      </c>
      <c r="J58">
        <f t="shared" si="0"/>
        <v>2</v>
      </c>
      <c r="K58" t="s">
        <v>14</v>
      </c>
    </row>
    <row r="59" spans="1:11" ht="25.5" customHeight="1" x14ac:dyDescent="0.45">
      <c r="A59" s="15" t="s">
        <v>81</v>
      </c>
      <c r="B59" s="16" t="s">
        <v>82</v>
      </c>
      <c r="C59" s="17" t="s">
        <v>14</v>
      </c>
      <c r="D59" s="20" t="s">
        <v>14</v>
      </c>
      <c r="E59" s="20" t="s">
        <v>14</v>
      </c>
      <c r="F59" s="21"/>
      <c r="G59">
        <v>5</v>
      </c>
      <c r="J59">
        <f t="shared" si="0"/>
        <v>5</v>
      </c>
      <c r="K59" t="s">
        <v>14</v>
      </c>
    </row>
    <row r="60" spans="1:11" ht="25.5" customHeight="1" x14ac:dyDescent="0.45">
      <c r="A60" s="15" t="s">
        <v>81</v>
      </c>
      <c r="B60" s="16" t="s">
        <v>83</v>
      </c>
      <c r="C60" s="17" t="s">
        <v>13</v>
      </c>
      <c r="D60" s="18" t="s">
        <v>13</v>
      </c>
      <c r="E60" s="18" t="s">
        <v>14</v>
      </c>
      <c r="F60" s="19"/>
      <c r="J60">
        <f t="shared" si="0"/>
        <v>0</v>
      </c>
    </row>
    <row r="61" spans="1:11" x14ac:dyDescent="0.45">
      <c r="A61" s="15" t="s">
        <v>81</v>
      </c>
      <c r="B61" s="16" t="s">
        <v>84</v>
      </c>
      <c r="C61" s="17" t="s">
        <v>13</v>
      </c>
      <c r="D61" s="18" t="s">
        <v>13</v>
      </c>
      <c r="E61" s="18" t="s">
        <v>14</v>
      </c>
      <c r="F61" s="19"/>
      <c r="J61">
        <f t="shared" si="0"/>
        <v>0</v>
      </c>
    </row>
    <row r="62" spans="1:11" x14ac:dyDescent="0.45">
      <c r="A62" s="15" t="s">
        <v>81</v>
      </c>
      <c r="B62" s="16" t="s">
        <v>85</v>
      </c>
      <c r="C62" s="17" t="s">
        <v>13</v>
      </c>
      <c r="D62" s="18" t="s">
        <v>13</v>
      </c>
      <c r="E62" s="18" t="s">
        <v>14</v>
      </c>
      <c r="F62" s="19"/>
      <c r="J62">
        <f t="shared" si="0"/>
        <v>0</v>
      </c>
    </row>
    <row r="63" spans="1:11" x14ac:dyDescent="0.45">
      <c r="A63" s="15" t="s">
        <v>81</v>
      </c>
      <c r="B63" s="16" t="s">
        <v>86</v>
      </c>
      <c r="C63" s="17" t="s">
        <v>13</v>
      </c>
      <c r="D63" s="18" t="s">
        <v>13</v>
      </c>
      <c r="E63" s="18" t="s">
        <v>14</v>
      </c>
      <c r="F63" s="19"/>
      <c r="J63">
        <f t="shared" si="0"/>
        <v>0</v>
      </c>
    </row>
    <row r="64" spans="1:11" ht="25.5" customHeight="1" x14ac:dyDescent="0.45">
      <c r="A64" s="15" t="s">
        <v>81</v>
      </c>
      <c r="B64" s="16" t="s">
        <v>87</v>
      </c>
      <c r="C64" s="17" t="s">
        <v>13</v>
      </c>
      <c r="D64" s="18" t="s">
        <v>13</v>
      </c>
      <c r="E64" s="18" t="s">
        <v>13</v>
      </c>
      <c r="F64" s="19"/>
      <c r="J64">
        <f t="shared" si="0"/>
        <v>0</v>
      </c>
    </row>
    <row r="65" spans="1:11" ht="25.5" customHeight="1" x14ac:dyDescent="0.45">
      <c r="A65" s="15" t="s">
        <v>81</v>
      </c>
      <c r="B65" s="16" t="s">
        <v>88</v>
      </c>
      <c r="C65" s="17" t="s">
        <v>14</v>
      </c>
      <c r="D65" s="20" t="s">
        <v>14</v>
      </c>
      <c r="E65" s="20" t="s">
        <v>14</v>
      </c>
      <c r="F65" s="21"/>
      <c r="J65">
        <f t="shared" si="0"/>
        <v>0</v>
      </c>
    </row>
    <row r="66" spans="1:11" ht="25.5" customHeight="1" x14ac:dyDescent="0.45">
      <c r="A66" s="15" t="s">
        <v>81</v>
      </c>
      <c r="B66" s="16" t="s">
        <v>89</v>
      </c>
      <c r="C66" s="17" t="s">
        <v>14</v>
      </c>
      <c r="D66" s="20" t="s">
        <v>14</v>
      </c>
      <c r="E66" s="20" t="s">
        <v>14</v>
      </c>
      <c r="F66" s="21"/>
      <c r="G66">
        <v>1</v>
      </c>
      <c r="J66">
        <f t="shared" ref="J66:J129" si="1">SUM(G66:I66)</f>
        <v>1</v>
      </c>
      <c r="K66" t="s">
        <v>14</v>
      </c>
    </row>
    <row r="67" spans="1:11" ht="25.5" customHeight="1" x14ac:dyDescent="0.45">
      <c r="A67" s="15" t="s">
        <v>81</v>
      </c>
      <c r="B67" s="16" t="s">
        <v>90</v>
      </c>
      <c r="C67" s="17" t="s">
        <v>13</v>
      </c>
      <c r="D67" s="18" t="s">
        <v>13</v>
      </c>
      <c r="E67" s="18" t="s">
        <v>14</v>
      </c>
      <c r="F67" s="19"/>
      <c r="J67">
        <f t="shared" si="1"/>
        <v>0</v>
      </c>
    </row>
    <row r="68" spans="1:11" ht="25.5" customHeight="1" x14ac:dyDescent="0.45">
      <c r="A68" s="15" t="s">
        <v>81</v>
      </c>
      <c r="B68" s="16" t="s">
        <v>91</v>
      </c>
      <c r="C68" s="17" t="s">
        <v>13</v>
      </c>
      <c r="D68" s="18" t="s">
        <v>13</v>
      </c>
      <c r="E68" s="18" t="s">
        <v>14</v>
      </c>
      <c r="F68" s="19"/>
      <c r="J68">
        <f t="shared" si="1"/>
        <v>0</v>
      </c>
    </row>
    <row r="69" spans="1:11" ht="25.5" customHeight="1" x14ac:dyDescent="0.45">
      <c r="A69" s="15" t="s">
        <v>81</v>
      </c>
      <c r="B69" s="16" t="s">
        <v>92</v>
      </c>
      <c r="C69" s="17" t="s">
        <v>13</v>
      </c>
      <c r="D69" s="18" t="s">
        <v>13</v>
      </c>
      <c r="E69" s="18" t="s">
        <v>14</v>
      </c>
      <c r="F69" s="19"/>
      <c r="J69">
        <f t="shared" si="1"/>
        <v>0</v>
      </c>
    </row>
    <row r="70" spans="1:11" ht="25.5" customHeight="1" x14ac:dyDescent="0.45">
      <c r="A70" s="15" t="s">
        <v>81</v>
      </c>
      <c r="B70" s="16" t="s">
        <v>93</v>
      </c>
      <c r="C70" s="17" t="s">
        <v>14</v>
      </c>
      <c r="D70" s="20" t="s">
        <v>14</v>
      </c>
      <c r="E70" s="20" t="s">
        <v>14</v>
      </c>
      <c r="F70" s="21"/>
      <c r="J70">
        <f t="shared" si="1"/>
        <v>0</v>
      </c>
    </row>
    <row r="71" spans="1:11" ht="25.5" customHeight="1" x14ac:dyDescent="0.45">
      <c r="A71" s="15" t="s">
        <v>81</v>
      </c>
      <c r="B71" s="16" t="s">
        <v>94</v>
      </c>
      <c r="C71" s="17" t="s">
        <v>14</v>
      </c>
      <c r="D71" s="18" t="s">
        <v>14</v>
      </c>
      <c r="E71" s="18" t="s">
        <v>14</v>
      </c>
      <c r="F71" s="19"/>
      <c r="J71">
        <f t="shared" si="1"/>
        <v>0</v>
      </c>
    </row>
    <row r="72" spans="1:11" ht="25.5" customHeight="1" x14ac:dyDescent="0.45">
      <c r="A72" s="15" t="s">
        <v>81</v>
      </c>
      <c r="B72" s="16" t="s">
        <v>95</v>
      </c>
      <c r="C72" s="17" t="s">
        <v>14</v>
      </c>
      <c r="D72" s="18" t="s">
        <v>14</v>
      </c>
      <c r="E72" s="18" t="s">
        <v>14</v>
      </c>
      <c r="F72" s="19"/>
      <c r="J72">
        <f t="shared" si="1"/>
        <v>0</v>
      </c>
    </row>
    <row r="73" spans="1:11" ht="25.5" customHeight="1" x14ac:dyDescent="0.45">
      <c r="A73" s="15" t="s">
        <v>81</v>
      </c>
      <c r="B73" s="16" t="s">
        <v>96</v>
      </c>
      <c r="C73" s="17" t="s">
        <v>14</v>
      </c>
      <c r="D73" s="18" t="s">
        <v>14</v>
      </c>
      <c r="E73" s="18" t="s">
        <v>14</v>
      </c>
      <c r="F73" s="19"/>
      <c r="J73">
        <f t="shared" si="1"/>
        <v>0</v>
      </c>
    </row>
    <row r="74" spans="1:11" ht="25.5" customHeight="1" x14ac:dyDescent="0.45">
      <c r="A74" s="15" t="s">
        <v>81</v>
      </c>
      <c r="B74" s="16" t="s">
        <v>97</v>
      </c>
      <c r="C74" s="17" t="s">
        <v>14</v>
      </c>
      <c r="D74" s="18" t="s">
        <v>14</v>
      </c>
      <c r="E74" s="18" t="s">
        <v>13</v>
      </c>
      <c r="F74" s="19"/>
      <c r="J74">
        <f t="shared" si="1"/>
        <v>0</v>
      </c>
    </row>
    <row r="75" spans="1:11" ht="25.5" customHeight="1" x14ac:dyDescent="0.45">
      <c r="A75" s="15" t="s">
        <v>81</v>
      </c>
      <c r="B75" s="16" t="s">
        <v>98</v>
      </c>
      <c r="C75" s="17" t="s">
        <v>14</v>
      </c>
      <c r="D75" s="20" t="s">
        <v>14</v>
      </c>
      <c r="E75" s="20" t="s">
        <v>13</v>
      </c>
      <c r="F75" s="21"/>
      <c r="J75">
        <f t="shared" si="1"/>
        <v>0</v>
      </c>
    </row>
    <row r="76" spans="1:11" ht="25.5" customHeight="1" x14ac:dyDescent="0.45">
      <c r="A76" s="15" t="s">
        <v>81</v>
      </c>
      <c r="B76" s="16" t="s">
        <v>99</v>
      </c>
      <c r="C76" s="17" t="s">
        <v>13</v>
      </c>
      <c r="D76" s="18" t="s">
        <v>14</v>
      </c>
      <c r="E76" s="18" t="s">
        <v>14</v>
      </c>
      <c r="F76" s="19"/>
      <c r="J76">
        <f t="shared" si="1"/>
        <v>0</v>
      </c>
    </row>
    <row r="77" spans="1:11" ht="25.5" customHeight="1" x14ac:dyDescent="0.45">
      <c r="A77" s="15" t="s">
        <v>81</v>
      </c>
      <c r="B77" s="16" t="s">
        <v>100</v>
      </c>
      <c r="C77" s="17" t="s">
        <v>14</v>
      </c>
      <c r="D77" s="20" t="s">
        <v>14</v>
      </c>
      <c r="E77" s="20" t="s">
        <v>14</v>
      </c>
      <c r="F77" s="21"/>
      <c r="J77">
        <f t="shared" si="1"/>
        <v>0</v>
      </c>
    </row>
    <row r="78" spans="1:11" ht="25.5" customHeight="1" x14ac:dyDescent="0.45">
      <c r="A78" s="15" t="s">
        <v>81</v>
      </c>
      <c r="B78" s="16" t="s">
        <v>101</v>
      </c>
      <c r="C78" s="17" t="s">
        <v>14</v>
      </c>
      <c r="D78" s="20" t="s">
        <v>14</v>
      </c>
      <c r="E78" s="20" t="s">
        <v>14</v>
      </c>
      <c r="F78" s="21"/>
      <c r="G78">
        <v>3</v>
      </c>
      <c r="J78">
        <f t="shared" si="1"/>
        <v>3</v>
      </c>
      <c r="K78" t="s">
        <v>14</v>
      </c>
    </row>
    <row r="79" spans="1:11" ht="25.5" customHeight="1" x14ac:dyDescent="0.45">
      <c r="A79" s="15" t="s">
        <v>102</v>
      </c>
      <c r="B79" s="16" t="s">
        <v>103</v>
      </c>
      <c r="C79" s="17" t="s">
        <v>14</v>
      </c>
      <c r="D79" s="18" t="s">
        <v>14</v>
      </c>
      <c r="E79" s="18" t="s">
        <v>13</v>
      </c>
      <c r="F79" s="19"/>
      <c r="J79">
        <f t="shared" si="1"/>
        <v>0</v>
      </c>
    </row>
    <row r="80" spans="1:11" ht="25.5" customHeight="1" x14ac:dyDescent="0.45">
      <c r="A80" s="15" t="s">
        <v>102</v>
      </c>
      <c r="B80" s="16" t="s">
        <v>104</v>
      </c>
      <c r="C80" s="17" t="s">
        <v>14</v>
      </c>
      <c r="D80" s="18" t="s">
        <v>14</v>
      </c>
      <c r="E80" s="18" t="s">
        <v>13</v>
      </c>
      <c r="F80" s="19" t="s">
        <v>105</v>
      </c>
      <c r="J80">
        <f t="shared" si="1"/>
        <v>0</v>
      </c>
    </row>
    <row r="81" spans="1:11" ht="25.5" customHeight="1" x14ac:dyDescent="0.45">
      <c r="A81" s="15" t="s">
        <v>102</v>
      </c>
      <c r="B81" s="16" t="s">
        <v>106</v>
      </c>
      <c r="C81" s="17" t="s">
        <v>14</v>
      </c>
      <c r="D81" s="18" t="s">
        <v>14</v>
      </c>
      <c r="E81" s="18" t="s">
        <v>13</v>
      </c>
      <c r="F81" s="19"/>
      <c r="J81">
        <f t="shared" si="1"/>
        <v>0</v>
      </c>
    </row>
    <row r="82" spans="1:11" ht="25.5" customHeight="1" x14ac:dyDescent="0.45">
      <c r="A82" s="15" t="s">
        <v>102</v>
      </c>
      <c r="B82" s="16" t="s">
        <v>107</v>
      </c>
      <c r="C82" s="17" t="s">
        <v>14</v>
      </c>
      <c r="D82" s="18" t="s">
        <v>14</v>
      </c>
      <c r="E82" s="18" t="s">
        <v>13</v>
      </c>
      <c r="F82" s="19" t="s">
        <v>108</v>
      </c>
      <c r="J82">
        <f t="shared" si="1"/>
        <v>0</v>
      </c>
    </row>
    <row r="83" spans="1:11" ht="25.5" customHeight="1" x14ac:dyDescent="0.45">
      <c r="A83" s="15" t="s">
        <v>102</v>
      </c>
      <c r="B83" s="16" t="s">
        <v>109</v>
      </c>
      <c r="C83" s="17" t="s">
        <v>14</v>
      </c>
      <c r="D83" s="18" t="s">
        <v>14</v>
      </c>
      <c r="E83" s="18" t="s">
        <v>13</v>
      </c>
      <c r="F83" s="19" t="s">
        <v>108</v>
      </c>
      <c r="J83">
        <f t="shared" si="1"/>
        <v>0</v>
      </c>
    </row>
    <row r="84" spans="1:11" ht="25.5" customHeight="1" x14ac:dyDescent="0.45">
      <c r="A84" s="15" t="s">
        <v>102</v>
      </c>
      <c r="B84" s="16" t="s">
        <v>110</v>
      </c>
      <c r="C84" s="17" t="s">
        <v>14</v>
      </c>
      <c r="D84" s="20" t="s">
        <v>14</v>
      </c>
      <c r="E84" s="20" t="s">
        <v>14</v>
      </c>
      <c r="F84" s="21"/>
      <c r="G84">
        <v>2</v>
      </c>
      <c r="J84">
        <f t="shared" si="1"/>
        <v>2</v>
      </c>
      <c r="K84" t="s">
        <v>14</v>
      </c>
    </row>
    <row r="85" spans="1:11" ht="25.5" customHeight="1" x14ac:dyDescent="0.45">
      <c r="A85" s="15" t="s">
        <v>102</v>
      </c>
      <c r="B85" s="16" t="s">
        <v>111</v>
      </c>
      <c r="C85" s="17" t="s">
        <v>14</v>
      </c>
      <c r="D85" s="18" t="s">
        <v>14</v>
      </c>
      <c r="E85" s="18" t="s">
        <v>14</v>
      </c>
      <c r="F85" s="19" t="s">
        <v>105</v>
      </c>
      <c r="G85">
        <v>2</v>
      </c>
      <c r="J85">
        <f t="shared" si="1"/>
        <v>2</v>
      </c>
      <c r="K85" t="s">
        <v>14</v>
      </c>
    </row>
    <row r="86" spans="1:11" ht="42.75" customHeight="1" x14ac:dyDescent="0.45">
      <c r="A86" s="15" t="s">
        <v>102</v>
      </c>
      <c r="B86" s="16" t="s">
        <v>112</v>
      </c>
      <c r="C86" s="17" t="s">
        <v>14</v>
      </c>
      <c r="D86" s="18" t="s">
        <v>14</v>
      </c>
      <c r="E86" s="18" t="s">
        <v>13</v>
      </c>
      <c r="F86" s="19" t="s">
        <v>113</v>
      </c>
      <c r="J86">
        <f t="shared" si="1"/>
        <v>0</v>
      </c>
    </row>
    <row r="87" spans="1:11" ht="25.5" customHeight="1" x14ac:dyDescent="0.45">
      <c r="A87" s="15" t="s">
        <v>102</v>
      </c>
      <c r="B87" s="16" t="s">
        <v>114</v>
      </c>
      <c r="C87" s="17" t="s">
        <v>13</v>
      </c>
      <c r="D87" s="18" t="s">
        <v>13</v>
      </c>
      <c r="E87" s="18" t="s">
        <v>13</v>
      </c>
      <c r="F87" s="19"/>
      <c r="J87">
        <f t="shared" si="1"/>
        <v>0</v>
      </c>
    </row>
    <row r="88" spans="1:11" ht="28.5" customHeight="1" x14ac:dyDescent="0.45">
      <c r="A88" s="15" t="s">
        <v>102</v>
      </c>
      <c r="B88" s="16" t="s">
        <v>115</v>
      </c>
      <c r="C88" s="17" t="s">
        <v>14</v>
      </c>
      <c r="D88" s="20" t="s">
        <v>14</v>
      </c>
      <c r="E88" s="20" t="s">
        <v>14</v>
      </c>
      <c r="F88" s="21" t="s">
        <v>116</v>
      </c>
      <c r="J88">
        <f t="shared" si="1"/>
        <v>0</v>
      </c>
    </row>
    <row r="89" spans="1:11" ht="25.5" customHeight="1" x14ac:dyDescent="0.45">
      <c r="A89" s="15" t="s">
        <v>102</v>
      </c>
      <c r="B89" s="16" t="s">
        <v>117</v>
      </c>
      <c r="C89" s="17" t="s">
        <v>14</v>
      </c>
      <c r="D89" s="20" t="s">
        <v>14</v>
      </c>
      <c r="E89" s="20" t="s">
        <v>14</v>
      </c>
      <c r="F89" s="21"/>
      <c r="G89">
        <v>1</v>
      </c>
      <c r="I89">
        <v>1</v>
      </c>
      <c r="J89">
        <f t="shared" si="1"/>
        <v>2</v>
      </c>
      <c r="K89" t="s">
        <v>14</v>
      </c>
    </row>
    <row r="90" spans="1:11" ht="25.5" customHeight="1" x14ac:dyDescent="0.45">
      <c r="A90" s="15" t="s">
        <v>102</v>
      </c>
      <c r="B90" s="16" t="s">
        <v>118</v>
      </c>
      <c r="C90" s="17" t="s">
        <v>13</v>
      </c>
      <c r="D90" s="18" t="s">
        <v>13</v>
      </c>
      <c r="E90" s="18" t="s">
        <v>14</v>
      </c>
      <c r="F90" s="19"/>
      <c r="J90">
        <f t="shared" si="1"/>
        <v>0</v>
      </c>
    </row>
    <row r="91" spans="1:11" ht="25.5" customHeight="1" x14ac:dyDescent="0.45">
      <c r="A91" s="15" t="s">
        <v>102</v>
      </c>
      <c r="B91" s="16" t="s">
        <v>119</v>
      </c>
      <c r="C91" s="17" t="s">
        <v>14</v>
      </c>
      <c r="D91" s="20" t="s">
        <v>14</v>
      </c>
      <c r="E91" s="20" t="s">
        <v>14</v>
      </c>
      <c r="F91" s="21"/>
      <c r="H91">
        <v>1</v>
      </c>
      <c r="J91">
        <f t="shared" si="1"/>
        <v>1</v>
      </c>
      <c r="K91" t="s">
        <v>14</v>
      </c>
    </row>
    <row r="92" spans="1:11" ht="25.5" customHeight="1" x14ac:dyDescent="0.45">
      <c r="A92" s="15" t="s">
        <v>102</v>
      </c>
      <c r="B92" s="16" t="s">
        <v>120</v>
      </c>
      <c r="C92" s="17" t="s">
        <v>14</v>
      </c>
      <c r="D92" s="18" t="s">
        <v>14</v>
      </c>
      <c r="E92" s="18" t="s">
        <v>14</v>
      </c>
      <c r="F92" s="19"/>
      <c r="J92">
        <f t="shared" si="1"/>
        <v>0</v>
      </c>
    </row>
    <row r="93" spans="1:11" ht="25.5" customHeight="1" x14ac:dyDescent="0.45">
      <c r="A93" s="15" t="s">
        <v>102</v>
      </c>
      <c r="B93" s="16" t="s">
        <v>121</v>
      </c>
      <c r="C93" s="17" t="s">
        <v>13</v>
      </c>
      <c r="D93" s="18" t="s">
        <v>13</v>
      </c>
      <c r="E93" s="18" t="s">
        <v>13</v>
      </c>
      <c r="F93" s="19"/>
      <c r="J93">
        <f t="shared" si="1"/>
        <v>0</v>
      </c>
    </row>
    <row r="94" spans="1:11" ht="25.5" customHeight="1" x14ac:dyDescent="0.45">
      <c r="A94" s="15" t="s">
        <v>102</v>
      </c>
      <c r="B94" s="16" t="s">
        <v>122</v>
      </c>
      <c r="C94" s="17" t="s">
        <v>13</v>
      </c>
      <c r="D94" s="18" t="s">
        <v>13</v>
      </c>
      <c r="E94" s="18" t="s">
        <v>13</v>
      </c>
      <c r="F94" s="19"/>
      <c r="J94">
        <f t="shared" si="1"/>
        <v>0</v>
      </c>
    </row>
    <row r="95" spans="1:11" ht="25.5" customHeight="1" x14ac:dyDescent="0.45">
      <c r="A95" s="15" t="s">
        <v>102</v>
      </c>
      <c r="B95" s="16" t="s">
        <v>123</v>
      </c>
      <c r="C95" s="17" t="s">
        <v>14</v>
      </c>
      <c r="D95" s="20" t="s">
        <v>14</v>
      </c>
      <c r="E95" s="20" t="s">
        <v>14</v>
      </c>
      <c r="F95" s="21"/>
      <c r="H95">
        <v>5</v>
      </c>
      <c r="J95">
        <f t="shared" si="1"/>
        <v>5</v>
      </c>
      <c r="K95" t="s">
        <v>14</v>
      </c>
    </row>
    <row r="96" spans="1:11" ht="25.5" customHeight="1" x14ac:dyDescent="0.45">
      <c r="A96" s="15" t="s">
        <v>102</v>
      </c>
      <c r="B96" s="16" t="s">
        <v>124</v>
      </c>
      <c r="C96" s="17" t="s">
        <v>13</v>
      </c>
      <c r="D96" s="18" t="s">
        <v>13</v>
      </c>
      <c r="E96" s="18" t="s">
        <v>13</v>
      </c>
      <c r="F96" s="19"/>
      <c r="J96">
        <f t="shared" si="1"/>
        <v>0</v>
      </c>
    </row>
    <row r="97" spans="1:11" ht="25.5" customHeight="1" x14ac:dyDescent="0.45">
      <c r="A97" s="15" t="s">
        <v>102</v>
      </c>
      <c r="B97" s="16" t="s">
        <v>125</v>
      </c>
      <c r="C97" s="17" t="s">
        <v>13</v>
      </c>
      <c r="D97" s="18" t="s">
        <v>13</v>
      </c>
      <c r="E97" s="18" t="s">
        <v>13</v>
      </c>
      <c r="F97" s="19"/>
      <c r="J97">
        <f t="shared" si="1"/>
        <v>0</v>
      </c>
    </row>
    <row r="98" spans="1:11" ht="25.5" customHeight="1" x14ac:dyDescent="0.45">
      <c r="A98" s="15" t="s">
        <v>102</v>
      </c>
      <c r="B98" s="16" t="s">
        <v>126</v>
      </c>
      <c r="C98" s="17" t="s">
        <v>14</v>
      </c>
      <c r="D98" s="20" t="s">
        <v>14</v>
      </c>
      <c r="E98" s="20" t="s">
        <v>13</v>
      </c>
      <c r="F98" s="21"/>
      <c r="J98">
        <f t="shared" si="1"/>
        <v>0</v>
      </c>
    </row>
    <row r="99" spans="1:11" ht="25.5" customHeight="1" x14ac:dyDescent="0.45">
      <c r="A99" s="15" t="s">
        <v>102</v>
      </c>
      <c r="B99" s="16" t="s">
        <v>127</v>
      </c>
      <c r="C99" s="17" t="s">
        <v>14</v>
      </c>
      <c r="D99" s="20" t="s">
        <v>14</v>
      </c>
      <c r="E99" s="20" t="s">
        <v>14</v>
      </c>
      <c r="F99" s="21"/>
      <c r="H99">
        <v>1</v>
      </c>
      <c r="J99">
        <f t="shared" si="1"/>
        <v>1</v>
      </c>
      <c r="K99" t="s">
        <v>14</v>
      </c>
    </row>
    <row r="100" spans="1:11" x14ac:dyDescent="0.45">
      <c r="A100" s="15" t="s">
        <v>128</v>
      </c>
      <c r="B100" s="16" t="s">
        <v>129</v>
      </c>
      <c r="C100" s="17" t="s">
        <v>14</v>
      </c>
      <c r="D100" s="20" t="s">
        <v>14</v>
      </c>
      <c r="E100" s="20" t="s">
        <v>14</v>
      </c>
      <c r="F100" s="21"/>
      <c r="J100">
        <f t="shared" si="1"/>
        <v>0</v>
      </c>
    </row>
    <row r="101" spans="1:11" ht="25.5" customHeight="1" x14ac:dyDescent="0.45">
      <c r="A101" s="15" t="s">
        <v>128</v>
      </c>
      <c r="B101" s="16" t="s">
        <v>130</v>
      </c>
      <c r="C101" s="17" t="s">
        <v>14</v>
      </c>
      <c r="D101" s="18" t="s">
        <v>14</v>
      </c>
      <c r="E101" s="18" t="s">
        <v>13</v>
      </c>
      <c r="F101" s="19"/>
      <c r="J101">
        <f t="shared" si="1"/>
        <v>0</v>
      </c>
    </row>
    <row r="102" spans="1:11" ht="25.5" customHeight="1" x14ac:dyDescent="0.45">
      <c r="A102" s="15" t="s">
        <v>128</v>
      </c>
      <c r="B102" s="16" t="s">
        <v>131</v>
      </c>
      <c r="C102" s="17" t="s">
        <v>14</v>
      </c>
      <c r="D102" s="18" t="s">
        <v>14</v>
      </c>
      <c r="E102" s="18" t="s">
        <v>13</v>
      </c>
      <c r="F102" s="19" t="s">
        <v>105</v>
      </c>
      <c r="J102">
        <f t="shared" si="1"/>
        <v>0</v>
      </c>
    </row>
    <row r="103" spans="1:11" x14ac:dyDescent="0.45">
      <c r="A103" s="15" t="s">
        <v>128</v>
      </c>
      <c r="B103" s="16" t="s">
        <v>132</v>
      </c>
      <c r="C103" s="17" t="s">
        <v>14</v>
      </c>
      <c r="D103" s="18" t="s">
        <v>13</v>
      </c>
      <c r="E103" s="18" t="s">
        <v>14</v>
      </c>
      <c r="F103" s="19"/>
      <c r="J103">
        <f t="shared" si="1"/>
        <v>0</v>
      </c>
    </row>
    <row r="104" spans="1:11" ht="25.5" customHeight="1" x14ac:dyDescent="0.45">
      <c r="A104" s="15" t="s">
        <v>128</v>
      </c>
      <c r="B104" s="16" t="s">
        <v>133</v>
      </c>
      <c r="C104" s="17" t="s">
        <v>13</v>
      </c>
      <c r="D104" s="18" t="s">
        <v>13</v>
      </c>
      <c r="E104" s="18" t="s">
        <v>13</v>
      </c>
      <c r="F104" s="19"/>
      <c r="J104">
        <f t="shared" si="1"/>
        <v>0</v>
      </c>
    </row>
    <row r="105" spans="1:11" ht="25.5" customHeight="1" x14ac:dyDescent="0.45">
      <c r="A105" s="15" t="s">
        <v>128</v>
      </c>
      <c r="B105" s="16" t="s">
        <v>134</v>
      </c>
      <c r="C105" s="17" t="s">
        <v>13</v>
      </c>
      <c r="D105" s="18" t="s">
        <v>13</v>
      </c>
      <c r="E105" s="18" t="s">
        <v>13</v>
      </c>
      <c r="F105" s="19"/>
      <c r="J105">
        <f t="shared" si="1"/>
        <v>0</v>
      </c>
    </row>
    <row r="106" spans="1:11" x14ac:dyDescent="0.45">
      <c r="A106" s="15" t="s">
        <v>128</v>
      </c>
      <c r="B106" s="16" t="s">
        <v>135</v>
      </c>
      <c r="C106" s="17" t="s">
        <v>13</v>
      </c>
      <c r="D106" s="18" t="s">
        <v>14</v>
      </c>
      <c r="E106" s="18" t="s">
        <v>13</v>
      </c>
      <c r="F106" s="19"/>
      <c r="J106">
        <f t="shared" si="1"/>
        <v>0</v>
      </c>
    </row>
    <row r="107" spans="1:11" ht="25.5" customHeight="1" x14ac:dyDescent="0.45">
      <c r="A107" s="15" t="s">
        <v>128</v>
      </c>
      <c r="B107" s="16" t="s">
        <v>136</v>
      </c>
      <c r="C107" s="17" t="s">
        <v>14</v>
      </c>
      <c r="D107" s="20" t="s">
        <v>14</v>
      </c>
      <c r="E107" s="20" t="s">
        <v>14</v>
      </c>
      <c r="F107" s="21"/>
      <c r="H107">
        <v>4</v>
      </c>
      <c r="J107">
        <f t="shared" si="1"/>
        <v>4</v>
      </c>
      <c r="K107" t="s">
        <v>14</v>
      </c>
    </row>
    <row r="108" spans="1:11" ht="25.5" customHeight="1" x14ac:dyDescent="0.45">
      <c r="A108" s="15" t="s">
        <v>128</v>
      </c>
      <c r="B108" s="16" t="s">
        <v>137</v>
      </c>
      <c r="C108" s="17" t="s">
        <v>14</v>
      </c>
      <c r="D108" s="18" t="s">
        <v>14</v>
      </c>
      <c r="E108" s="18" t="s">
        <v>14</v>
      </c>
      <c r="F108" s="19" t="s">
        <v>105</v>
      </c>
      <c r="H108">
        <v>1</v>
      </c>
      <c r="J108">
        <f t="shared" si="1"/>
        <v>1</v>
      </c>
      <c r="K108" t="s">
        <v>14</v>
      </c>
    </row>
    <row r="109" spans="1:11" ht="25.5" customHeight="1" x14ac:dyDescent="0.45">
      <c r="A109" s="15" t="s">
        <v>128</v>
      </c>
      <c r="B109" s="16" t="s">
        <v>138</v>
      </c>
      <c r="C109" s="17" t="s">
        <v>14</v>
      </c>
      <c r="D109" s="20" t="s">
        <v>14</v>
      </c>
      <c r="E109" s="20" t="s">
        <v>14</v>
      </c>
      <c r="F109" s="21"/>
      <c r="J109">
        <f t="shared" si="1"/>
        <v>0</v>
      </c>
    </row>
    <row r="110" spans="1:11" ht="25.5" customHeight="1" x14ac:dyDescent="0.45">
      <c r="A110" s="15" t="s">
        <v>128</v>
      </c>
      <c r="B110" s="16" t="s">
        <v>139</v>
      </c>
      <c r="C110" s="17" t="s">
        <v>14</v>
      </c>
      <c r="D110" s="20" t="s">
        <v>14</v>
      </c>
      <c r="E110" s="20" t="s">
        <v>14</v>
      </c>
      <c r="F110" s="21"/>
      <c r="H110">
        <v>2</v>
      </c>
      <c r="J110">
        <f t="shared" si="1"/>
        <v>2</v>
      </c>
      <c r="K110" t="s">
        <v>14</v>
      </c>
    </row>
    <row r="111" spans="1:11" ht="25.5" customHeight="1" x14ac:dyDescent="0.45">
      <c r="A111" s="15" t="s">
        <v>128</v>
      </c>
      <c r="B111" s="16" t="s">
        <v>140</v>
      </c>
      <c r="C111" s="17" t="s">
        <v>14</v>
      </c>
      <c r="D111" s="18" t="s">
        <v>14</v>
      </c>
      <c r="E111" s="18" t="s">
        <v>13</v>
      </c>
      <c r="F111" s="19"/>
      <c r="J111">
        <f t="shared" si="1"/>
        <v>0</v>
      </c>
    </row>
    <row r="112" spans="1:11" ht="25.5" customHeight="1" x14ac:dyDescent="0.45">
      <c r="A112" s="15" t="s">
        <v>128</v>
      </c>
      <c r="B112" s="16" t="s">
        <v>141</v>
      </c>
      <c r="C112" s="17" t="s">
        <v>14</v>
      </c>
      <c r="D112" s="20" t="s">
        <v>14</v>
      </c>
      <c r="E112" s="20" t="s">
        <v>14</v>
      </c>
      <c r="F112" s="21"/>
      <c r="I112">
        <v>2</v>
      </c>
      <c r="J112">
        <f t="shared" si="1"/>
        <v>2</v>
      </c>
      <c r="K112" t="s">
        <v>14</v>
      </c>
    </row>
    <row r="113" spans="1:11" x14ac:dyDescent="0.45">
      <c r="A113" s="15" t="s">
        <v>128</v>
      </c>
      <c r="B113" s="16" t="s">
        <v>142</v>
      </c>
      <c r="C113" s="17" t="s">
        <v>14</v>
      </c>
      <c r="D113" s="18" t="s">
        <v>14</v>
      </c>
      <c r="E113" s="18" t="s">
        <v>13</v>
      </c>
      <c r="F113" s="19"/>
      <c r="J113">
        <f t="shared" si="1"/>
        <v>0</v>
      </c>
    </row>
    <row r="114" spans="1:11" x14ac:dyDescent="0.45">
      <c r="A114" s="15" t="s">
        <v>128</v>
      </c>
      <c r="B114" s="16" t="s">
        <v>143</v>
      </c>
      <c r="C114" s="17" t="s">
        <v>13</v>
      </c>
      <c r="D114" s="18" t="s">
        <v>13</v>
      </c>
      <c r="E114" s="18" t="s">
        <v>13</v>
      </c>
      <c r="F114" s="19"/>
      <c r="J114">
        <f t="shared" si="1"/>
        <v>0</v>
      </c>
    </row>
    <row r="115" spans="1:11" x14ac:dyDescent="0.45">
      <c r="A115" s="15" t="s">
        <v>128</v>
      </c>
      <c r="B115" s="16" t="s">
        <v>144</v>
      </c>
      <c r="C115" s="17" t="s">
        <v>13</v>
      </c>
      <c r="D115" s="18" t="s">
        <v>13</v>
      </c>
      <c r="E115" s="18" t="s">
        <v>14</v>
      </c>
      <c r="F115" s="19"/>
      <c r="J115">
        <f t="shared" si="1"/>
        <v>0</v>
      </c>
    </row>
    <row r="116" spans="1:11" ht="25.5" customHeight="1" x14ac:dyDescent="0.45">
      <c r="A116" s="15" t="s">
        <v>128</v>
      </c>
      <c r="B116" s="16" t="s">
        <v>145</v>
      </c>
      <c r="C116" s="17" t="s">
        <v>14</v>
      </c>
      <c r="D116" s="20" t="s">
        <v>14</v>
      </c>
      <c r="E116" s="20" t="s">
        <v>14</v>
      </c>
      <c r="F116" s="21"/>
      <c r="H116">
        <v>1</v>
      </c>
      <c r="J116">
        <f t="shared" si="1"/>
        <v>1</v>
      </c>
      <c r="K116" t="s">
        <v>14</v>
      </c>
    </row>
    <row r="117" spans="1:11" ht="25.5" customHeight="1" x14ac:dyDescent="0.45">
      <c r="A117" s="15" t="s">
        <v>128</v>
      </c>
      <c r="B117" s="16" t="s">
        <v>146</v>
      </c>
      <c r="C117" s="17" t="s">
        <v>13</v>
      </c>
      <c r="D117" s="18" t="s">
        <v>13</v>
      </c>
      <c r="E117" s="18" t="s">
        <v>14</v>
      </c>
      <c r="F117" s="19"/>
      <c r="J117">
        <f t="shared" si="1"/>
        <v>0</v>
      </c>
    </row>
    <row r="118" spans="1:11" ht="38.25" customHeight="1" x14ac:dyDescent="0.45">
      <c r="A118" s="15" t="s">
        <v>128</v>
      </c>
      <c r="B118" s="16" t="s">
        <v>147</v>
      </c>
      <c r="C118" s="17" t="s">
        <v>13</v>
      </c>
      <c r="D118" s="18" t="s">
        <v>13</v>
      </c>
      <c r="E118" s="18" t="s">
        <v>14</v>
      </c>
      <c r="F118" s="19"/>
      <c r="J118">
        <f t="shared" si="1"/>
        <v>0</v>
      </c>
    </row>
    <row r="119" spans="1:11" ht="25.5" customHeight="1" x14ac:dyDescent="0.45">
      <c r="A119" s="15" t="s">
        <v>128</v>
      </c>
      <c r="B119" s="16" t="s">
        <v>148</v>
      </c>
      <c r="C119" s="17" t="s">
        <v>13</v>
      </c>
      <c r="D119" s="18" t="s">
        <v>13</v>
      </c>
      <c r="E119" s="18" t="s">
        <v>14</v>
      </c>
      <c r="F119" s="19"/>
      <c r="J119">
        <f t="shared" si="1"/>
        <v>0</v>
      </c>
    </row>
    <row r="120" spans="1:11" ht="25.5" customHeight="1" x14ac:dyDescent="0.45">
      <c r="A120" s="15" t="s">
        <v>128</v>
      </c>
      <c r="B120" s="16" t="s">
        <v>149</v>
      </c>
      <c r="C120" s="17" t="s">
        <v>13</v>
      </c>
      <c r="D120" s="18" t="s">
        <v>13</v>
      </c>
      <c r="E120" s="18" t="s">
        <v>13</v>
      </c>
      <c r="F120" s="19"/>
      <c r="J120">
        <f t="shared" si="1"/>
        <v>0</v>
      </c>
    </row>
    <row r="121" spans="1:11" ht="25.5" customHeight="1" x14ac:dyDescent="0.45">
      <c r="A121" s="15" t="s">
        <v>128</v>
      </c>
      <c r="B121" s="16" t="s">
        <v>150</v>
      </c>
      <c r="C121" s="17" t="s">
        <v>13</v>
      </c>
      <c r="D121" s="18" t="s">
        <v>13</v>
      </c>
      <c r="E121" s="18" t="s">
        <v>13</v>
      </c>
      <c r="F121" s="19"/>
      <c r="J121">
        <f t="shared" si="1"/>
        <v>0</v>
      </c>
    </row>
    <row r="122" spans="1:11" ht="25.5" customHeight="1" x14ac:dyDescent="0.45">
      <c r="A122" s="15" t="s">
        <v>128</v>
      </c>
      <c r="B122" s="16" t="s">
        <v>151</v>
      </c>
      <c r="C122" s="17" t="s">
        <v>13</v>
      </c>
      <c r="D122" s="18" t="s">
        <v>13</v>
      </c>
      <c r="E122" s="18" t="s">
        <v>13</v>
      </c>
      <c r="F122" s="19"/>
      <c r="J122">
        <f t="shared" si="1"/>
        <v>0</v>
      </c>
    </row>
    <row r="123" spans="1:11" ht="25.5" customHeight="1" x14ac:dyDescent="0.45">
      <c r="A123" s="15" t="s">
        <v>128</v>
      </c>
      <c r="B123" s="16" t="s">
        <v>152</v>
      </c>
      <c r="C123" s="17" t="s">
        <v>14</v>
      </c>
      <c r="D123" s="20" t="s">
        <v>14</v>
      </c>
      <c r="E123" s="20" t="s">
        <v>14</v>
      </c>
      <c r="F123" s="21"/>
      <c r="J123">
        <f t="shared" si="1"/>
        <v>0</v>
      </c>
    </row>
    <row r="124" spans="1:11" ht="25.5" customHeight="1" x14ac:dyDescent="0.45">
      <c r="A124" s="15" t="s">
        <v>128</v>
      </c>
      <c r="B124" s="16" t="s">
        <v>153</v>
      </c>
      <c r="C124" s="17" t="s">
        <v>13</v>
      </c>
      <c r="D124" s="18" t="s">
        <v>13</v>
      </c>
      <c r="E124" s="18" t="s">
        <v>14</v>
      </c>
      <c r="F124" s="19"/>
      <c r="J124">
        <f t="shared" si="1"/>
        <v>0</v>
      </c>
    </row>
    <row r="125" spans="1:11" ht="25.5" customHeight="1" x14ac:dyDescent="0.45">
      <c r="A125" s="15" t="s">
        <v>128</v>
      </c>
      <c r="B125" s="16" t="s">
        <v>154</v>
      </c>
      <c r="C125" s="17" t="s">
        <v>14</v>
      </c>
      <c r="D125" s="18" t="s">
        <v>14</v>
      </c>
      <c r="E125" s="18" t="s">
        <v>13</v>
      </c>
      <c r="F125" s="19"/>
      <c r="J125">
        <f t="shared" si="1"/>
        <v>0</v>
      </c>
    </row>
    <row r="126" spans="1:11" ht="25.5" customHeight="1" x14ac:dyDescent="0.45">
      <c r="A126" s="15" t="s">
        <v>128</v>
      </c>
      <c r="B126" s="16" t="s">
        <v>155</v>
      </c>
      <c r="C126" s="17" t="s">
        <v>13</v>
      </c>
      <c r="D126" s="18" t="s">
        <v>14</v>
      </c>
      <c r="E126" s="18" t="s">
        <v>13</v>
      </c>
      <c r="F126" s="19" t="s">
        <v>156</v>
      </c>
      <c r="J126">
        <f t="shared" si="1"/>
        <v>0</v>
      </c>
    </row>
    <row r="127" spans="1:11" ht="25.5" customHeight="1" x14ac:dyDescent="0.45">
      <c r="A127" s="15" t="s">
        <v>128</v>
      </c>
      <c r="B127" s="16" t="s">
        <v>157</v>
      </c>
      <c r="C127" s="17" t="s">
        <v>14</v>
      </c>
      <c r="D127" s="18" t="s">
        <v>14</v>
      </c>
      <c r="E127" s="18" t="s">
        <v>13</v>
      </c>
      <c r="F127" s="19"/>
      <c r="J127">
        <f t="shared" si="1"/>
        <v>0</v>
      </c>
    </row>
    <row r="128" spans="1:11" ht="25.5" customHeight="1" x14ac:dyDescent="0.45">
      <c r="A128" s="15" t="s">
        <v>128</v>
      </c>
      <c r="B128" s="16" t="s">
        <v>158</v>
      </c>
      <c r="C128" s="17" t="s">
        <v>14</v>
      </c>
      <c r="D128" s="18" t="s">
        <v>14</v>
      </c>
      <c r="E128" s="18" t="s">
        <v>13</v>
      </c>
      <c r="F128" s="19"/>
      <c r="J128">
        <f t="shared" si="1"/>
        <v>0</v>
      </c>
    </row>
    <row r="129" spans="1:11" ht="25.5" customHeight="1" x14ac:dyDescent="0.45">
      <c r="A129" s="15" t="s">
        <v>128</v>
      </c>
      <c r="B129" s="16" t="s">
        <v>159</v>
      </c>
      <c r="C129" s="17" t="s">
        <v>14</v>
      </c>
      <c r="D129" s="18" t="s">
        <v>14</v>
      </c>
      <c r="E129" s="18" t="s">
        <v>13</v>
      </c>
      <c r="F129" s="19"/>
      <c r="J129">
        <f t="shared" si="1"/>
        <v>0</v>
      </c>
    </row>
    <row r="130" spans="1:11" ht="25.5" customHeight="1" x14ac:dyDescent="0.45">
      <c r="A130" s="15" t="s">
        <v>128</v>
      </c>
      <c r="B130" s="16" t="s">
        <v>160</v>
      </c>
      <c r="C130" s="17" t="s">
        <v>13</v>
      </c>
      <c r="D130" s="18" t="s">
        <v>13</v>
      </c>
      <c r="E130" s="18" t="s">
        <v>13</v>
      </c>
      <c r="F130" s="19"/>
      <c r="J130">
        <f t="shared" ref="J130:J193" si="2">SUM(G130:I130)</f>
        <v>0</v>
      </c>
    </row>
    <row r="131" spans="1:11" ht="25.5" customHeight="1" x14ac:dyDescent="0.45">
      <c r="A131" s="15" t="s">
        <v>128</v>
      </c>
      <c r="B131" s="16" t="s">
        <v>161</v>
      </c>
      <c r="C131" s="17" t="s">
        <v>13</v>
      </c>
      <c r="D131" s="18" t="s">
        <v>13</v>
      </c>
      <c r="E131" s="18" t="s">
        <v>14</v>
      </c>
      <c r="F131" s="19"/>
      <c r="J131">
        <f t="shared" si="2"/>
        <v>0</v>
      </c>
    </row>
    <row r="132" spans="1:11" ht="25.5" customHeight="1" x14ac:dyDescent="0.45">
      <c r="A132" s="15" t="s">
        <v>162</v>
      </c>
      <c r="B132" s="16" t="s">
        <v>163</v>
      </c>
      <c r="C132" s="17" t="s">
        <v>13</v>
      </c>
      <c r="D132" s="18" t="s">
        <v>13</v>
      </c>
      <c r="E132" s="18" t="s">
        <v>14</v>
      </c>
      <c r="F132" s="19"/>
      <c r="J132">
        <f t="shared" si="2"/>
        <v>0</v>
      </c>
    </row>
    <row r="133" spans="1:11" ht="25.5" customHeight="1" x14ac:dyDescent="0.45">
      <c r="A133" s="15" t="s">
        <v>162</v>
      </c>
      <c r="B133" s="16" t="s">
        <v>164</v>
      </c>
      <c r="C133" s="17" t="s">
        <v>14</v>
      </c>
      <c r="D133" s="20" t="s">
        <v>14</v>
      </c>
      <c r="E133" s="20" t="s">
        <v>14</v>
      </c>
      <c r="F133" s="21"/>
      <c r="H133">
        <v>1</v>
      </c>
      <c r="J133">
        <f t="shared" si="2"/>
        <v>1</v>
      </c>
      <c r="K133" t="s">
        <v>14</v>
      </c>
    </row>
    <row r="134" spans="1:11" ht="25.5" customHeight="1" x14ac:dyDescent="0.45">
      <c r="A134" s="15" t="s">
        <v>162</v>
      </c>
      <c r="B134" s="16" t="s">
        <v>165</v>
      </c>
      <c r="C134" s="17" t="s">
        <v>14</v>
      </c>
      <c r="D134" s="18" t="s">
        <v>14</v>
      </c>
      <c r="E134" s="18" t="s">
        <v>14</v>
      </c>
      <c r="F134" s="19"/>
      <c r="J134">
        <f t="shared" si="2"/>
        <v>0</v>
      </c>
    </row>
    <row r="135" spans="1:11" ht="28.5" customHeight="1" x14ac:dyDescent="0.45">
      <c r="A135" s="15" t="s">
        <v>162</v>
      </c>
      <c r="B135" s="16" t="s">
        <v>166</v>
      </c>
      <c r="C135" s="17" t="s">
        <v>14</v>
      </c>
      <c r="D135" s="18" t="s">
        <v>14</v>
      </c>
      <c r="E135" s="18" t="s">
        <v>14</v>
      </c>
      <c r="F135" s="19" t="s">
        <v>167</v>
      </c>
      <c r="J135">
        <f t="shared" si="2"/>
        <v>0</v>
      </c>
    </row>
    <row r="136" spans="1:11" ht="25.5" customHeight="1" x14ac:dyDescent="0.45">
      <c r="A136" s="15" t="s">
        <v>162</v>
      </c>
      <c r="B136" s="16" t="s">
        <v>168</v>
      </c>
      <c r="C136" s="17" t="s">
        <v>14</v>
      </c>
      <c r="D136" s="20" t="s">
        <v>14</v>
      </c>
      <c r="E136" s="20" t="s">
        <v>14</v>
      </c>
      <c r="F136" s="21"/>
      <c r="H136">
        <v>2</v>
      </c>
      <c r="J136">
        <f t="shared" si="2"/>
        <v>2</v>
      </c>
      <c r="K136" t="s">
        <v>14</v>
      </c>
    </row>
    <row r="137" spans="1:11" ht="25.5" customHeight="1" x14ac:dyDescent="0.45">
      <c r="A137" s="15" t="s">
        <v>162</v>
      </c>
      <c r="B137" s="16" t="s">
        <v>169</v>
      </c>
      <c r="C137" s="17" t="s">
        <v>13</v>
      </c>
      <c r="D137" s="18" t="s">
        <v>13</v>
      </c>
      <c r="E137" s="18" t="s">
        <v>14</v>
      </c>
      <c r="F137" s="19"/>
      <c r="J137">
        <f t="shared" si="2"/>
        <v>0</v>
      </c>
    </row>
    <row r="138" spans="1:11" ht="25.5" customHeight="1" x14ac:dyDescent="0.45">
      <c r="A138" s="15" t="s">
        <v>162</v>
      </c>
      <c r="B138" s="16" t="s">
        <v>170</v>
      </c>
      <c r="C138" s="17" t="s">
        <v>13</v>
      </c>
      <c r="D138" s="18" t="s">
        <v>13</v>
      </c>
      <c r="E138" s="18" t="s">
        <v>14</v>
      </c>
      <c r="F138" s="19"/>
      <c r="J138">
        <f t="shared" si="2"/>
        <v>0</v>
      </c>
    </row>
    <row r="139" spans="1:11" ht="25.5" customHeight="1" x14ac:dyDescent="0.45">
      <c r="A139" s="15" t="s">
        <v>162</v>
      </c>
      <c r="B139" s="16" t="s">
        <v>171</v>
      </c>
      <c r="C139" s="17" t="s">
        <v>14</v>
      </c>
      <c r="D139" s="18" t="s">
        <v>14</v>
      </c>
      <c r="E139" s="18" t="s">
        <v>14</v>
      </c>
      <c r="F139" s="19"/>
      <c r="H139">
        <v>2</v>
      </c>
      <c r="J139">
        <f t="shared" si="2"/>
        <v>2</v>
      </c>
      <c r="K139" t="s">
        <v>14</v>
      </c>
    </row>
    <row r="140" spans="1:11" ht="25.5" customHeight="1" x14ac:dyDescent="0.45">
      <c r="A140" s="15" t="s">
        <v>162</v>
      </c>
      <c r="B140" s="16" t="s">
        <v>172</v>
      </c>
      <c r="C140" s="17" t="s">
        <v>14</v>
      </c>
      <c r="D140" s="18" t="s">
        <v>14</v>
      </c>
      <c r="E140" s="18" t="s">
        <v>13</v>
      </c>
      <c r="F140" s="19"/>
      <c r="J140">
        <f t="shared" si="2"/>
        <v>0</v>
      </c>
    </row>
    <row r="141" spans="1:11" ht="25.5" customHeight="1" x14ac:dyDescent="0.45">
      <c r="A141" s="15" t="s">
        <v>162</v>
      </c>
      <c r="B141" s="16" t="s">
        <v>173</v>
      </c>
      <c r="C141" s="17" t="s">
        <v>14</v>
      </c>
      <c r="D141" s="18" t="s">
        <v>14</v>
      </c>
      <c r="E141" s="18" t="s">
        <v>13</v>
      </c>
      <c r="F141" s="19"/>
      <c r="J141">
        <f t="shared" si="2"/>
        <v>0</v>
      </c>
    </row>
    <row r="142" spans="1:11" ht="25.5" customHeight="1" x14ac:dyDescent="0.45">
      <c r="A142" s="15" t="s">
        <v>162</v>
      </c>
      <c r="B142" s="16" t="s">
        <v>174</v>
      </c>
      <c r="C142" s="17" t="s">
        <v>13</v>
      </c>
      <c r="D142" s="18" t="s">
        <v>13</v>
      </c>
      <c r="E142" s="18" t="s">
        <v>13</v>
      </c>
      <c r="F142" s="19"/>
      <c r="J142">
        <f t="shared" si="2"/>
        <v>0</v>
      </c>
    </row>
    <row r="143" spans="1:11" ht="25.5" customHeight="1" x14ac:dyDescent="0.45">
      <c r="A143" s="15" t="s">
        <v>162</v>
      </c>
      <c r="B143" s="16" t="s">
        <v>175</v>
      </c>
      <c r="C143" s="17" t="s">
        <v>14</v>
      </c>
      <c r="D143" s="20" t="s">
        <v>14</v>
      </c>
      <c r="E143" s="20" t="s">
        <v>14</v>
      </c>
      <c r="F143" s="21"/>
      <c r="J143">
        <f t="shared" si="2"/>
        <v>0</v>
      </c>
    </row>
    <row r="144" spans="1:11" ht="25.5" customHeight="1" x14ac:dyDescent="0.45">
      <c r="A144" s="15" t="s">
        <v>162</v>
      </c>
      <c r="B144" s="16" t="s">
        <v>176</v>
      </c>
      <c r="C144" s="17" t="s">
        <v>14</v>
      </c>
      <c r="D144" s="18" t="s">
        <v>14</v>
      </c>
      <c r="E144" s="18" t="s">
        <v>14</v>
      </c>
      <c r="F144" s="19"/>
      <c r="I144">
        <v>1</v>
      </c>
      <c r="J144">
        <f t="shared" si="2"/>
        <v>1</v>
      </c>
      <c r="K144" t="s">
        <v>14</v>
      </c>
    </row>
    <row r="145" spans="1:11" ht="25.5" customHeight="1" x14ac:dyDescent="0.45">
      <c r="A145" s="15" t="s">
        <v>162</v>
      </c>
      <c r="B145" s="16" t="s">
        <v>177</v>
      </c>
      <c r="C145" s="17" t="s">
        <v>14</v>
      </c>
      <c r="D145" s="20" t="s">
        <v>14</v>
      </c>
      <c r="E145" s="20" t="s">
        <v>14</v>
      </c>
      <c r="F145" s="21"/>
      <c r="H145">
        <v>3</v>
      </c>
      <c r="J145">
        <f t="shared" si="2"/>
        <v>3</v>
      </c>
      <c r="K145" t="s">
        <v>14</v>
      </c>
    </row>
    <row r="146" spans="1:11" ht="25.5" customHeight="1" x14ac:dyDescent="0.45">
      <c r="A146" s="15" t="s">
        <v>162</v>
      </c>
      <c r="B146" s="16" t="s">
        <v>178</v>
      </c>
      <c r="C146" s="17" t="s">
        <v>14</v>
      </c>
      <c r="D146" s="20" t="s">
        <v>14</v>
      </c>
      <c r="E146" s="20" t="s">
        <v>14</v>
      </c>
      <c r="F146" s="21"/>
      <c r="H146">
        <v>1</v>
      </c>
      <c r="I146">
        <v>1</v>
      </c>
      <c r="J146">
        <f t="shared" si="2"/>
        <v>2</v>
      </c>
      <c r="K146" t="s">
        <v>14</v>
      </c>
    </row>
    <row r="147" spans="1:11" ht="25.5" customHeight="1" x14ac:dyDescent="0.45">
      <c r="A147" s="15" t="s">
        <v>179</v>
      </c>
      <c r="B147" s="16" t="s">
        <v>180</v>
      </c>
      <c r="C147" s="17" t="s">
        <v>14</v>
      </c>
      <c r="D147" s="20" t="s">
        <v>14</v>
      </c>
      <c r="E147" s="20" t="s">
        <v>14</v>
      </c>
      <c r="F147" s="21"/>
      <c r="I147">
        <v>4</v>
      </c>
      <c r="J147">
        <f t="shared" si="2"/>
        <v>4</v>
      </c>
      <c r="K147" t="s">
        <v>14</v>
      </c>
    </row>
    <row r="148" spans="1:11" ht="25.5" customHeight="1" x14ac:dyDescent="0.45">
      <c r="A148" s="15" t="s">
        <v>179</v>
      </c>
      <c r="B148" s="16" t="s">
        <v>181</v>
      </c>
      <c r="C148" s="17" t="s">
        <v>14</v>
      </c>
      <c r="D148" s="20" t="s">
        <v>14</v>
      </c>
      <c r="E148" s="20" t="s">
        <v>14</v>
      </c>
      <c r="F148" s="21"/>
      <c r="I148">
        <v>3</v>
      </c>
      <c r="J148">
        <f t="shared" si="2"/>
        <v>3</v>
      </c>
      <c r="K148" t="s">
        <v>14</v>
      </c>
    </row>
    <row r="149" spans="1:11" ht="25.5" customHeight="1" x14ac:dyDescent="0.45">
      <c r="A149" s="15" t="s">
        <v>179</v>
      </c>
      <c r="B149" s="16" t="s">
        <v>182</v>
      </c>
      <c r="C149" s="17" t="s">
        <v>14</v>
      </c>
      <c r="D149" s="18" t="s">
        <v>14</v>
      </c>
      <c r="E149" s="18" t="s">
        <v>14</v>
      </c>
      <c r="F149" s="19"/>
      <c r="J149">
        <f t="shared" si="2"/>
        <v>0</v>
      </c>
    </row>
    <row r="150" spans="1:11" ht="25.5" customHeight="1" x14ac:dyDescent="0.45">
      <c r="A150" s="15" t="s">
        <v>179</v>
      </c>
      <c r="B150" s="16" t="s">
        <v>183</v>
      </c>
      <c r="C150" s="17" t="s">
        <v>14</v>
      </c>
      <c r="D150" s="18" t="s">
        <v>14</v>
      </c>
      <c r="E150" s="18" t="s">
        <v>14</v>
      </c>
      <c r="F150" s="19"/>
      <c r="I150">
        <v>1</v>
      </c>
      <c r="J150">
        <f t="shared" si="2"/>
        <v>1</v>
      </c>
      <c r="K150" t="s">
        <v>13</v>
      </c>
    </row>
    <row r="151" spans="1:11" x14ac:dyDescent="0.45">
      <c r="A151" s="15" t="s">
        <v>179</v>
      </c>
      <c r="B151" s="16" t="s">
        <v>184</v>
      </c>
      <c r="C151" s="17" t="s">
        <v>14</v>
      </c>
      <c r="D151" s="18" t="s">
        <v>14</v>
      </c>
      <c r="E151" s="18" t="s">
        <v>14</v>
      </c>
      <c r="F151" s="19"/>
      <c r="H151">
        <v>3</v>
      </c>
      <c r="J151">
        <f t="shared" si="2"/>
        <v>3</v>
      </c>
      <c r="K151" t="s">
        <v>14</v>
      </c>
    </row>
    <row r="152" spans="1:11" ht="25.5" customHeight="1" x14ac:dyDescent="0.45">
      <c r="A152" s="15" t="s">
        <v>179</v>
      </c>
      <c r="B152" s="16" t="s">
        <v>185</v>
      </c>
      <c r="C152" s="17" t="s">
        <v>14</v>
      </c>
      <c r="D152" s="18" t="s">
        <v>14</v>
      </c>
      <c r="E152" s="18" t="s">
        <v>14</v>
      </c>
      <c r="F152" s="19"/>
      <c r="H152">
        <v>2</v>
      </c>
      <c r="J152">
        <f t="shared" si="2"/>
        <v>2</v>
      </c>
      <c r="K152" t="s">
        <v>14</v>
      </c>
    </row>
    <row r="153" spans="1:11" ht="25.5" customHeight="1" x14ac:dyDescent="0.45">
      <c r="A153" s="15" t="s">
        <v>179</v>
      </c>
      <c r="B153" s="16" t="s">
        <v>186</v>
      </c>
      <c r="C153" s="17" t="s">
        <v>14</v>
      </c>
      <c r="D153" s="20" t="s">
        <v>14</v>
      </c>
      <c r="E153" s="20" t="s">
        <v>14</v>
      </c>
      <c r="F153" s="21"/>
      <c r="H153">
        <v>3</v>
      </c>
      <c r="J153">
        <f t="shared" si="2"/>
        <v>3</v>
      </c>
      <c r="K153" t="s">
        <v>14</v>
      </c>
    </row>
    <row r="154" spans="1:11" ht="25.5" customHeight="1" x14ac:dyDescent="0.45">
      <c r="A154" s="15" t="s">
        <v>179</v>
      </c>
      <c r="B154" s="16" t="s">
        <v>187</v>
      </c>
      <c r="C154" s="17" t="s">
        <v>14</v>
      </c>
      <c r="D154" s="20" t="s">
        <v>14</v>
      </c>
      <c r="E154" s="20" t="s">
        <v>14</v>
      </c>
      <c r="F154" s="21"/>
      <c r="H154">
        <v>2</v>
      </c>
      <c r="J154">
        <f t="shared" si="2"/>
        <v>2</v>
      </c>
      <c r="K154" t="s">
        <v>14</v>
      </c>
    </row>
    <row r="155" spans="1:11" ht="25.5" customHeight="1" x14ac:dyDescent="0.45">
      <c r="A155" s="15" t="s">
        <v>179</v>
      </c>
      <c r="B155" s="16" t="s">
        <v>188</v>
      </c>
      <c r="C155" s="17" t="s">
        <v>14</v>
      </c>
      <c r="D155" s="18" t="s">
        <v>14</v>
      </c>
      <c r="E155" s="18" t="s">
        <v>13</v>
      </c>
      <c r="F155" s="19"/>
      <c r="J155">
        <f t="shared" si="2"/>
        <v>0</v>
      </c>
    </row>
    <row r="156" spans="1:11" ht="25.5" customHeight="1" x14ac:dyDescent="0.45">
      <c r="A156" s="15" t="s">
        <v>179</v>
      </c>
      <c r="B156" s="16" t="s">
        <v>189</v>
      </c>
      <c r="C156" s="17" t="s">
        <v>14</v>
      </c>
      <c r="D156" s="18" t="s">
        <v>14</v>
      </c>
      <c r="E156" s="18" t="s">
        <v>13</v>
      </c>
      <c r="F156" s="19"/>
      <c r="J156">
        <f t="shared" si="2"/>
        <v>0</v>
      </c>
    </row>
    <row r="157" spans="1:11" ht="25.5" customHeight="1" x14ac:dyDescent="0.45">
      <c r="A157" s="15" t="s">
        <v>179</v>
      </c>
      <c r="B157" s="16" t="s">
        <v>190</v>
      </c>
      <c r="C157" s="17" t="s">
        <v>14</v>
      </c>
      <c r="D157" s="20" t="s">
        <v>14</v>
      </c>
      <c r="E157" s="20" t="s">
        <v>14</v>
      </c>
      <c r="F157" s="21"/>
      <c r="I157">
        <v>2</v>
      </c>
      <c r="J157">
        <f t="shared" si="2"/>
        <v>2</v>
      </c>
      <c r="K157" t="s">
        <v>14</v>
      </c>
    </row>
    <row r="158" spans="1:11" ht="25.5" customHeight="1" x14ac:dyDescent="0.45">
      <c r="A158" s="15" t="s">
        <v>179</v>
      </c>
      <c r="B158" s="16" t="s">
        <v>191</v>
      </c>
      <c r="C158" s="17" t="s">
        <v>14</v>
      </c>
      <c r="D158" s="20" t="s">
        <v>14</v>
      </c>
      <c r="E158" s="20" t="s">
        <v>14</v>
      </c>
      <c r="F158" s="21"/>
      <c r="I158">
        <v>3</v>
      </c>
      <c r="J158">
        <f t="shared" si="2"/>
        <v>3</v>
      </c>
      <c r="K158" t="s">
        <v>14</v>
      </c>
    </row>
    <row r="159" spans="1:11" ht="25.5" customHeight="1" x14ac:dyDescent="0.45">
      <c r="A159" s="15" t="s">
        <v>179</v>
      </c>
      <c r="B159" s="16" t="s">
        <v>192</v>
      </c>
      <c r="C159" s="17" t="s">
        <v>14</v>
      </c>
      <c r="D159" s="18" t="s">
        <v>14</v>
      </c>
      <c r="E159" s="18" t="s">
        <v>13</v>
      </c>
      <c r="F159" s="19"/>
      <c r="I159">
        <v>1</v>
      </c>
      <c r="J159">
        <f t="shared" si="2"/>
        <v>1</v>
      </c>
      <c r="K159" t="s">
        <v>13</v>
      </c>
    </row>
    <row r="160" spans="1:11" ht="28.5" customHeight="1" x14ac:dyDescent="0.45">
      <c r="A160" s="15" t="s">
        <v>179</v>
      </c>
      <c r="B160" s="16" t="s">
        <v>193</v>
      </c>
      <c r="C160" s="17" t="s">
        <v>13</v>
      </c>
      <c r="D160" s="18" t="s">
        <v>13</v>
      </c>
      <c r="E160" s="18" t="s">
        <v>13</v>
      </c>
      <c r="F160" s="19" t="s">
        <v>194</v>
      </c>
      <c r="J160">
        <f t="shared" si="2"/>
        <v>0</v>
      </c>
    </row>
    <row r="161" spans="1:11" ht="25.5" customHeight="1" x14ac:dyDescent="0.45">
      <c r="A161" s="15" t="s">
        <v>179</v>
      </c>
      <c r="B161" s="16" t="s">
        <v>195</v>
      </c>
      <c r="C161" s="17" t="s">
        <v>14</v>
      </c>
      <c r="D161" s="20" t="s">
        <v>14</v>
      </c>
      <c r="E161" s="20" t="s">
        <v>14</v>
      </c>
      <c r="F161" s="21"/>
      <c r="I161">
        <v>4</v>
      </c>
      <c r="J161">
        <f t="shared" si="2"/>
        <v>4</v>
      </c>
      <c r="K161" t="s">
        <v>14</v>
      </c>
    </row>
    <row r="162" spans="1:11" ht="25.5" customHeight="1" x14ac:dyDescent="0.45">
      <c r="A162" s="15" t="s">
        <v>179</v>
      </c>
      <c r="B162" s="16" t="s">
        <v>196</v>
      </c>
      <c r="C162" s="17" t="s">
        <v>14</v>
      </c>
      <c r="D162" s="20" t="s">
        <v>14</v>
      </c>
      <c r="E162" s="20" t="s">
        <v>14</v>
      </c>
      <c r="F162" s="21"/>
      <c r="I162">
        <v>5</v>
      </c>
      <c r="J162">
        <f t="shared" si="2"/>
        <v>5</v>
      </c>
      <c r="K162" t="s">
        <v>14</v>
      </c>
    </row>
    <row r="163" spans="1:11" x14ac:dyDescent="0.45">
      <c r="A163" s="15" t="s">
        <v>197</v>
      </c>
      <c r="B163" s="16" t="s">
        <v>198</v>
      </c>
      <c r="C163" s="17" t="s">
        <v>14</v>
      </c>
      <c r="D163" s="18" t="s">
        <v>14</v>
      </c>
      <c r="E163" s="18" t="s">
        <v>13</v>
      </c>
      <c r="F163" s="19"/>
      <c r="J163">
        <f t="shared" si="2"/>
        <v>0</v>
      </c>
    </row>
    <row r="164" spans="1:11" x14ac:dyDescent="0.45">
      <c r="A164" s="15" t="s">
        <v>197</v>
      </c>
      <c r="B164" s="16" t="s">
        <v>199</v>
      </c>
      <c r="C164" s="17" t="s">
        <v>14</v>
      </c>
      <c r="D164" s="18" t="s">
        <v>13</v>
      </c>
      <c r="E164" s="18" t="s">
        <v>13</v>
      </c>
      <c r="F164" s="19"/>
      <c r="J164">
        <f t="shared" si="2"/>
        <v>0</v>
      </c>
    </row>
    <row r="165" spans="1:11" x14ac:dyDescent="0.45">
      <c r="A165" s="15" t="s">
        <v>197</v>
      </c>
      <c r="B165" s="16" t="s">
        <v>200</v>
      </c>
      <c r="C165" s="17" t="s">
        <v>14</v>
      </c>
      <c r="D165" s="20" t="s">
        <v>14</v>
      </c>
      <c r="E165" s="20" t="s">
        <v>14</v>
      </c>
      <c r="F165" s="21"/>
      <c r="G165">
        <v>4</v>
      </c>
      <c r="J165">
        <f t="shared" si="2"/>
        <v>4</v>
      </c>
      <c r="K165" t="s">
        <v>14</v>
      </c>
    </row>
    <row r="166" spans="1:11" ht="25.5" customHeight="1" x14ac:dyDescent="0.45">
      <c r="A166" s="15" t="s">
        <v>197</v>
      </c>
      <c r="B166" s="16" t="s">
        <v>201</v>
      </c>
      <c r="C166" s="17" t="s">
        <v>13</v>
      </c>
      <c r="D166" s="18" t="s">
        <v>13</v>
      </c>
      <c r="E166" s="18" t="s">
        <v>14</v>
      </c>
      <c r="F166" s="19"/>
      <c r="G166">
        <v>1</v>
      </c>
      <c r="J166">
        <f t="shared" si="2"/>
        <v>1</v>
      </c>
      <c r="K166" t="s">
        <v>13</v>
      </c>
    </row>
    <row r="167" spans="1:11" ht="25.5" customHeight="1" x14ac:dyDescent="0.45">
      <c r="A167" s="15" t="s">
        <v>197</v>
      </c>
      <c r="B167" s="16" t="s">
        <v>202</v>
      </c>
      <c r="C167" s="17" t="s">
        <v>14</v>
      </c>
      <c r="D167" s="20" t="s">
        <v>14</v>
      </c>
      <c r="E167" s="20" t="s">
        <v>14</v>
      </c>
      <c r="F167" s="21"/>
      <c r="G167">
        <v>3</v>
      </c>
      <c r="J167">
        <f t="shared" si="2"/>
        <v>3</v>
      </c>
      <c r="K167" t="s">
        <v>14</v>
      </c>
    </row>
    <row r="168" spans="1:11" ht="25.5" customHeight="1" x14ac:dyDescent="0.45">
      <c r="A168" s="15" t="s">
        <v>197</v>
      </c>
      <c r="B168" s="16" t="s">
        <v>203</v>
      </c>
      <c r="C168" s="17" t="s">
        <v>14</v>
      </c>
      <c r="D168" s="20" t="s">
        <v>14</v>
      </c>
      <c r="E168" s="20" t="s">
        <v>14</v>
      </c>
      <c r="F168" s="21"/>
      <c r="G168">
        <v>1</v>
      </c>
      <c r="J168">
        <f t="shared" si="2"/>
        <v>1</v>
      </c>
      <c r="K168" t="s">
        <v>13</v>
      </c>
    </row>
    <row r="169" spans="1:11" ht="25.5" customHeight="1" x14ac:dyDescent="0.45">
      <c r="A169" s="15" t="s">
        <v>197</v>
      </c>
      <c r="B169" s="16" t="s">
        <v>204</v>
      </c>
      <c r="C169" s="17" t="s">
        <v>14</v>
      </c>
      <c r="D169" s="18" t="s">
        <v>13</v>
      </c>
      <c r="E169" s="18" t="s">
        <v>13</v>
      </c>
      <c r="F169" s="19"/>
      <c r="J169">
        <f t="shared" si="2"/>
        <v>0</v>
      </c>
    </row>
    <row r="170" spans="1:11" ht="25.5" customHeight="1" x14ac:dyDescent="0.45">
      <c r="A170" s="15" t="s">
        <v>197</v>
      </c>
      <c r="B170" s="16" t="s">
        <v>205</v>
      </c>
      <c r="C170" s="17" t="s">
        <v>14</v>
      </c>
      <c r="D170" s="18" t="s">
        <v>14</v>
      </c>
      <c r="E170" s="18" t="s">
        <v>14</v>
      </c>
      <c r="F170" s="19"/>
      <c r="G170">
        <v>2</v>
      </c>
      <c r="J170">
        <f t="shared" si="2"/>
        <v>2</v>
      </c>
      <c r="K170" t="s">
        <v>14</v>
      </c>
    </row>
    <row r="171" spans="1:11" ht="25.5" customHeight="1" x14ac:dyDescent="0.45">
      <c r="A171" s="15" t="s">
        <v>197</v>
      </c>
      <c r="B171" s="16" t="s">
        <v>206</v>
      </c>
      <c r="C171" s="17" t="s">
        <v>14</v>
      </c>
      <c r="D171" s="20" t="s">
        <v>14</v>
      </c>
      <c r="E171" s="20" t="s">
        <v>14</v>
      </c>
      <c r="F171" s="21"/>
      <c r="G171">
        <v>2</v>
      </c>
      <c r="J171">
        <f t="shared" si="2"/>
        <v>2</v>
      </c>
      <c r="K171" t="s">
        <v>14</v>
      </c>
    </row>
    <row r="172" spans="1:11" ht="25.5" customHeight="1" x14ac:dyDescent="0.45">
      <c r="A172" s="15" t="s">
        <v>197</v>
      </c>
      <c r="B172" s="16" t="s">
        <v>207</v>
      </c>
      <c r="C172" s="17" t="s">
        <v>14</v>
      </c>
      <c r="D172" s="18" t="s">
        <v>14</v>
      </c>
      <c r="E172" s="18" t="s">
        <v>13</v>
      </c>
      <c r="F172" s="19"/>
      <c r="G172">
        <v>1</v>
      </c>
      <c r="J172">
        <f t="shared" si="2"/>
        <v>1</v>
      </c>
      <c r="K172" t="s">
        <v>13</v>
      </c>
    </row>
    <row r="173" spans="1:11" ht="25.5" customHeight="1" x14ac:dyDescent="0.45">
      <c r="A173" s="15" t="s">
        <v>197</v>
      </c>
      <c r="B173" s="16" t="s">
        <v>208</v>
      </c>
      <c r="C173" s="17" t="s">
        <v>14</v>
      </c>
      <c r="D173" s="18" t="s">
        <v>14</v>
      </c>
      <c r="E173" s="18" t="s">
        <v>13</v>
      </c>
      <c r="F173" s="19"/>
      <c r="J173">
        <f t="shared" si="2"/>
        <v>0</v>
      </c>
    </row>
    <row r="174" spans="1:11" ht="25.5" customHeight="1" x14ac:dyDescent="0.45">
      <c r="A174" s="15" t="s">
        <v>197</v>
      </c>
      <c r="B174" s="16" t="s">
        <v>209</v>
      </c>
      <c r="C174" s="17" t="s">
        <v>14</v>
      </c>
      <c r="D174" s="20" t="s">
        <v>14</v>
      </c>
      <c r="E174" s="20" t="s">
        <v>14</v>
      </c>
      <c r="F174" s="21"/>
      <c r="G174">
        <v>3</v>
      </c>
      <c r="J174">
        <f t="shared" si="2"/>
        <v>3</v>
      </c>
      <c r="K174" t="s">
        <v>14</v>
      </c>
    </row>
    <row r="175" spans="1:11" x14ac:dyDescent="0.45">
      <c r="A175" s="15" t="s">
        <v>197</v>
      </c>
      <c r="B175" s="16" t="s">
        <v>210</v>
      </c>
      <c r="C175" s="17" t="s">
        <v>14</v>
      </c>
      <c r="D175" s="18" t="s">
        <v>13</v>
      </c>
      <c r="E175" s="18" t="s">
        <v>13</v>
      </c>
      <c r="F175" s="19"/>
      <c r="J175">
        <f t="shared" si="2"/>
        <v>0</v>
      </c>
    </row>
    <row r="176" spans="1:11" ht="25.5" customHeight="1" x14ac:dyDescent="0.45">
      <c r="A176" s="15" t="s">
        <v>197</v>
      </c>
      <c r="B176" s="16" t="s">
        <v>211</v>
      </c>
      <c r="C176" s="17" t="s">
        <v>14</v>
      </c>
      <c r="D176" s="18" t="s">
        <v>14</v>
      </c>
      <c r="E176" s="18" t="s">
        <v>13</v>
      </c>
      <c r="F176" s="19"/>
      <c r="J176">
        <f t="shared" si="2"/>
        <v>0</v>
      </c>
    </row>
    <row r="177" spans="1:11" ht="25.5" customHeight="1" x14ac:dyDescent="0.45">
      <c r="A177" s="15" t="s">
        <v>197</v>
      </c>
      <c r="B177" s="16" t="s">
        <v>212</v>
      </c>
      <c r="C177" s="17" t="s">
        <v>14</v>
      </c>
      <c r="D177" s="20" t="s">
        <v>14</v>
      </c>
      <c r="E177" s="20" t="s">
        <v>13</v>
      </c>
      <c r="F177" s="21"/>
      <c r="J177">
        <f t="shared" si="2"/>
        <v>0</v>
      </c>
    </row>
    <row r="178" spans="1:11" ht="25.5" customHeight="1" x14ac:dyDescent="0.45">
      <c r="A178" s="15" t="s">
        <v>197</v>
      </c>
      <c r="B178" s="16" t="s">
        <v>213</v>
      </c>
      <c r="C178" s="17" t="s">
        <v>13</v>
      </c>
      <c r="D178" s="18" t="s">
        <v>13</v>
      </c>
      <c r="E178" s="18" t="s">
        <v>13</v>
      </c>
      <c r="F178" s="19" t="s">
        <v>105</v>
      </c>
      <c r="J178">
        <f t="shared" si="2"/>
        <v>0</v>
      </c>
    </row>
    <row r="179" spans="1:11" ht="25.5" customHeight="1" x14ac:dyDescent="0.45">
      <c r="A179" s="15" t="s">
        <v>197</v>
      </c>
      <c r="B179" s="16" t="s">
        <v>214</v>
      </c>
      <c r="C179" s="17" t="s">
        <v>14</v>
      </c>
      <c r="D179" s="18" t="s">
        <v>14</v>
      </c>
      <c r="E179" s="18" t="s">
        <v>13</v>
      </c>
      <c r="F179" s="19"/>
      <c r="J179">
        <f t="shared" si="2"/>
        <v>0</v>
      </c>
    </row>
    <row r="180" spans="1:11" ht="25.5" customHeight="1" x14ac:dyDescent="0.45">
      <c r="A180" s="15" t="s">
        <v>197</v>
      </c>
      <c r="B180" s="16" t="s">
        <v>215</v>
      </c>
      <c r="C180" s="17" t="s">
        <v>14</v>
      </c>
      <c r="D180" s="20" t="s">
        <v>14</v>
      </c>
      <c r="E180" s="20" t="s">
        <v>14</v>
      </c>
      <c r="F180" s="21" t="s">
        <v>216</v>
      </c>
      <c r="J180">
        <f t="shared" si="2"/>
        <v>0</v>
      </c>
    </row>
    <row r="181" spans="1:11" ht="25.5" customHeight="1" x14ac:dyDescent="0.45">
      <c r="A181" s="15" t="s">
        <v>217</v>
      </c>
      <c r="B181" s="16" t="s">
        <v>218</v>
      </c>
      <c r="C181" s="17" t="s">
        <v>14</v>
      </c>
      <c r="D181" s="18" t="s">
        <v>14</v>
      </c>
      <c r="E181" s="18" t="s">
        <v>14</v>
      </c>
      <c r="F181" s="19"/>
      <c r="I181">
        <v>2</v>
      </c>
      <c r="J181">
        <f t="shared" si="2"/>
        <v>2</v>
      </c>
      <c r="K181" t="s">
        <v>14</v>
      </c>
    </row>
    <row r="182" spans="1:11" ht="25.5" customHeight="1" x14ac:dyDescent="0.45">
      <c r="A182" s="15" t="s">
        <v>217</v>
      </c>
      <c r="B182" s="16" t="s">
        <v>219</v>
      </c>
      <c r="C182" s="17" t="s">
        <v>14</v>
      </c>
      <c r="D182" s="18" t="s">
        <v>14</v>
      </c>
      <c r="E182" s="18" t="s">
        <v>14</v>
      </c>
      <c r="F182" s="19"/>
      <c r="J182">
        <f t="shared" si="2"/>
        <v>0</v>
      </c>
    </row>
    <row r="183" spans="1:11" ht="25.5" customHeight="1" x14ac:dyDescent="0.45">
      <c r="A183" s="15" t="s">
        <v>217</v>
      </c>
      <c r="B183" s="16" t="s">
        <v>220</v>
      </c>
      <c r="C183" s="17" t="s">
        <v>14</v>
      </c>
      <c r="D183" s="18" t="s">
        <v>14</v>
      </c>
      <c r="E183" s="18" t="s">
        <v>14</v>
      </c>
      <c r="F183" s="19"/>
      <c r="I183">
        <v>3</v>
      </c>
      <c r="J183">
        <f t="shared" si="2"/>
        <v>3</v>
      </c>
      <c r="K183" t="s">
        <v>14</v>
      </c>
    </row>
    <row r="184" spans="1:11" ht="25.5" customHeight="1" x14ac:dyDescent="0.45">
      <c r="A184" s="15" t="s">
        <v>217</v>
      </c>
      <c r="B184" s="16" t="s">
        <v>221</v>
      </c>
      <c r="C184" s="17" t="s">
        <v>14</v>
      </c>
      <c r="D184" s="18" t="s">
        <v>14</v>
      </c>
      <c r="E184" s="18" t="s">
        <v>13</v>
      </c>
      <c r="F184" s="19"/>
      <c r="J184">
        <f t="shared" si="2"/>
        <v>0</v>
      </c>
    </row>
    <row r="185" spans="1:11" ht="25.5" customHeight="1" x14ac:dyDescent="0.45">
      <c r="A185" s="15" t="s">
        <v>217</v>
      </c>
      <c r="B185" s="16" t="s">
        <v>222</v>
      </c>
      <c r="C185" s="17" t="s">
        <v>13</v>
      </c>
      <c r="D185" s="18" t="s">
        <v>13</v>
      </c>
      <c r="E185" s="18" t="s">
        <v>14</v>
      </c>
      <c r="F185" s="19" t="s">
        <v>216</v>
      </c>
      <c r="J185">
        <f t="shared" si="2"/>
        <v>0</v>
      </c>
    </row>
    <row r="186" spans="1:11" ht="25.5" customHeight="1" x14ac:dyDescent="0.45">
      <c r="A186" s="15" t="s">
        <v>217</v>
      </c>
      <c r="B186" s="16" t="s">
        <v>223</v>
      </c>
      <c r="C186" s="17" t="s">
        <v>14</v>
      </c>
      <c r="D186" s="20" t="s">
        <v>14</v>
      </c>
      <c r="E186" s="20" t="s">
        <v>14</v>
      </c>
      <c r="F186" s="21"/>
      <c r="H186">
        <v>1</v>
      </c>
      <c r="J186">
        <f t="shared" si="2"/>
        <v>1</v>
      </c>
      <c r="K186" t="s">
        <v>13</v>
      </c>
    </row>
    <row r="187" spans="1:11" ht="25.5" customHeight="1" x14ac:dyDescent="0.45">
      <c r="A187" s="15" t="s">
        <v>217</v>
      </c>
      <c r="B187" s="16" t="s">
        <v>224</v>
      </c>
      <c r="C187" s="17" t="s">
        <v>14</v>
      </c>
      <c r="D187" s="18" t="s">
        <v>14</v>
      </c>
      <c r="E187" s="18" t="s">
        <v>13</v>
      </c>
      <c r="F187" s="19"/>
      <c r="J187">
        <f t="shared" si="2"/>
        <v>0</v>
      </c>
    </row>
    <row r="188" spans="1:11" ht="25.5" customHeight="1" x14ac:dyDescent="0.45">
      <c r="A188" s="15" t="s">
        <v>217</v>
      </c>
      <c r="B188" s="16" t="s">
        <v>225</v>
      </c>
      <c r="C188" s="17" t="s">
        <v>14</v>
      </c>
      <c r="D188" s="20" t="s">
        <v>14</v>
      </c>
      <c r="E188" s="20" t="s">
        <v>14</v>
      </c>
      <c r="F188" s="21"/>
      <c r="I188">
        <v>2</v>
      </c>
      <c r="J188">
        <f t="shared" si="2"/>
        <v>2</v>
      </c>
      <c r="K188" t="s">
        <v>14</v>
      </c>
    </row>
    <row r="189" spans="1:11" ht="25.5" customHeight="1" x14ac:dyDescent="0.45">
      <c r="A189" s="15" t="s">
        <v>217</v>
      </c>
      <c r="B189" s="16" t="s">
        <v>226</v>
      </c>
      <c r="C189" s="17" t="s">
        <v>14</v>
      </c>
      <c r="D189" s="18" t="s">
        <v>14</v>
      </c>
      <c r="E189" s="18" t="s">
        <v>13</v>
      </c>
      <c r="F189" s="19"/>
      <c r="I189">
        <v>1</v>
      </c>
      <c r="J189">
        <f t="shared" si="2"/>
        <v>1</v>
      </c>
      <c r="K189" t="s">
        <v>13</v>
      </c>
    </row>
    <row r="190" spans="1:11" ht="25.5" customHeight="1" x14ac:dyDescent="0.45">
      <c r="A190" s="15" t="s">
        <v>217</v>
      </c>
      <c r="B190" s="16" t="s">
        <v>227</v>
      </c>
      <c r="C190" s="17" t="s">
        <v>14</v>
      </c>
      <c r="D190" s="18" t="s">
        <v>14</v>
      </c>
      <c r="E190" s="18" t="s">
        <v>13</v>
      </c>
      <c r="F190" s="19"/>
      <c r="J190">
        <f t="shared" si="2"/>
        <v>0</v>
      </c>
    </row>
    <row r="191" spans="1:11" x14ac:dyDescent="0.45">
      <c r="A191" s="15" t="s">
        <v>217</v>
      </c>
      <c r="B191" s="16" t="s">
        <v>228</v>
      </c>
      <c r="C191" s="17" t="s">
        <v>14</v>
      </c>
      <c r="D191" s="18" t="s">
        <v>14</v>
      </c>
      <c r="E191" s="18" t="s">
        <v>13</v>
      </c>
      <c r="F191" s="19"/>
      <c r="J191">
        <f t="shared" si="2"/>
        <v>0</v>
      </c>
    </row>
    <row r="192" spans="1:11" ht="25.5" customHeight="1" x14ac:dyDescent="0.45">
      <c r="A192" s="15" t="s">
        <v>217</v>
      </c>
      <c r="B192" s="16" t="s">
        <v>229</v>
      </c>
      <c r="C192" s="17" t="s">
        <v>14</v>
      </c>
      <c r="D192" s="18" t="s">
        <v>14</v>
      </c>
      <c r="E192" s="18" t="s">
        <v>13</v>
      </c>
      <c r="F192" s="19"/>
      <c r="J192">
        <f t="shared" si="2"/>
        <v>0</v>
      </c>
    </row>
    <row r="193" spans="1:11" ht="25.5" customHeight="1" x14ac:dyDescent="0.45">
      <c r="A193" s="15" t="s">
        <v>217</v>
      </c>
      <c r="B193" s="16" t="s">
        <v>230</v>
      </c>
      <c r="C193" s="17" t="s">
        <v>14</v>
      </c>
      <c r="D193" s="20" t="s">
        <v>14</v>
      </c>
      <c r="E193" s="20" t="s">
        <v>14</v>
      </c>
      <c r="F193" s="21"/>
      <c r="J193">
        <f t="shared" si="2"/>
        <v>0</v>
      </c>
    </row>
    <row r="194" spans="1:11" x14ac:dyDescent="0.45">
      <c r="A194" s="15" t="s">
        <v>217</v>
      </c>
      <c r="B194" s="16" t="s">
        <v>231</v>
      </c>
      <c r="C194" s="17" t="s">
        <v>14</v>
      </c>
      <c r="D194" s="18" t="s">
        <v>14</v>
      </c>
      <c r="E194" s="18" t="s">
        <v>13</v>
      </c>
      <c r="F194" s="19"/>
      <c r="J194">
        <f t="shared" ref="J194:J257" si="3">SUM(G194:I194)</f>
        <v>0</v>
      </c>
    </row>
    <row r="195" spans="1:11" ht="25.5" customHeight="1" x14ac:dyDescent="0.45">
      <c r="A195" s="15" t="s">
        <v>217</v>
      </c>
      <c r="B195" s="16" t="s">
        <v>232</v>
      </c>
      <c r="C195" s="17" t="s">
        <v>13</v>
      </c>
      <c r="D195" s="18" t="s">
        <v>13</v>
      </c>
      <c r="E195" s="18" t="s">
        <v>13</v>
      </c>
      <c r="F195" s="19"/>
      <c r="J195">
        <f t="shared" si="3"/>
        <v>0</v>
      </c>
    </row>
    <row r="196" spans="1:11" ht="25.5" customHeight="1" x14ac:dyDescent="0.45">
      <c r="A196" s="15" t="s">
        <v>217</v>
      </c>
      <c r="B196" s="16" t="s">
        <v>233</v>
      </c>
      <c r="C196" s="17" t="s">
        <v>13</v>
      </c>
      <c r="D196" s="18" t="s">
        <v>13</v>
      </c>
      <c r="E196" s="18" t="s">
        <v>13</v>
      </c>
      <c r="F196" s="19"/>
      <c r="J196">
        <f t="shared" si="3"/>
        <v>0</v>
      </c>
    </row>
    <row r="197" spans="1:11" ht="25.5" customHeight="1" x14ac:dyDescent="0.45">
      <c r="A197" s="15" t="s">
        <v>217</v>
      </c>
      <c r="B197" s="16" t="s">
        <v>234</v>
      </c>
      <c r="C197" s="17" t="s">
        <v>13</v>
      </c>
      <c r="D197" s="18" t="s">
        <v>13</v>
      </c>
      <c r="E197" s="18" t="s">
        <v>13</v>
      </c>
      <c r="F197" s="19"/>
      <c r="J197">
        <f t="shared" si="3"/>
        <v>0</v>
      </c>
    </row>
    <row r="198" spans="1:11" ht="25.5" customHeight="1" x14ac:dyDescent="0.45">
      <c r="A198" s="15" t="s">
        <v>217</v>
      </c>
      <c r="B198" s="16" t="s">
        <v>235</v>
      </c>
      <c r="C198" s="17" t="s">
        <v>13</v>
      </c>
      <c r="D198" s="18" t="s">
        <v>13</v>
      </c>
      <c r="E198" s="18" t="s">
        <v>13</v>
      </c>
      <c r="F198" s="19"/>
      <c r="J198">
        <f t="shared" si="3"/>
        <v>0</v>
      </c>
    </row>
    <row r="199" spans="1:11" ht="25.5" customHeight="1" x14ac:dyDescent="0.45">
      <c r="A199" s="15" t="s">
        <v>217</v>
      </c>
      <c r="B199" s="16" t="s">
        <v>236</v>
      </c>
      <c r="C199" s="17" t="s">
        <v>14</v>
      </c>
      <c r="D199" s="18" t="s">
        <v>14</v>
      </c>
      <c r="E199" s="18" t="s">
        <v>13</v>
      </c>
      <c r="F199" s="19"/>
      <c r="J199">
        <f t="shared" si="3"/>
        <v>0</v>
      </c>
    </row>
    <row r="200" spans="1:11" x14ac:dyDescent="0.45">
      <c r="A200" s="15" t="s">
        <v>237</v>
      </c>
      <c r="B200" s="16" t="s">
        <v>238</v>
      </c>
      <c r="C200" s="17" t="s">
        <v>14</v>
      </c>
      <c r="D200" s="20" t="s">
        <v>14</v>
      </c>
      <c r="E200" s="20" t="s">
        <v>14</v>
      </c>
      <c r="F200" s="21"/>
      <c r="H200">
        <v>2</v>
      </c>
      <c r="J200">
        <f t="shared" si="3"/>
        <v>2</v>
      </c>
      <c r="K200" t="s">
        <v>14</v>
      </c>
    </row>
    <row r="201" spans="1:11" x14ac:dyDescent="0.45">
      <c r="A201" s="15" t="s">
        <v>237</v>
      </c>
      <c r="B201" s="16" t="s">
        <v>239</v>
      </c>
      <c r="C201" s="17" t="s">
        <v>14</v>
      </c>
      <c r="D201" s="18" t="s">
        <v>14</v>
      </c>
      <c r="E201" s="18" t="s">
        <v>14</v>
      </c>
      <c r="F201" s="19"/>
      <c r="H201">
        <v>1</v>
      </c>
      <c r="J201">
        <f t="shared" si="3"/>
        <v>1</v>
      </c>
      <c r="K201" t="s">
        <v>13</v>
      </c>
    </row>
    <row r="202" spans="1:11" ht="25.5" customHeight="1" x14ac:dyDescent="0.45">
      <c r="A202" s="15" t="s">
        <v>237</v>
      </c>
      <c r="B202" s="16" t="s">
        <v>240</v>
      </c>
      <c r="C202" s="17" t="s">
        <v>14</v>
      </c>
      <c r="D202" s="18" t="s">
        <v>13</v>
      </c>
      <c r="E202" s="18" t="s">
        <v>14</v>
      </c>
      <c r="F202" s="19"/>
      <c r="J202">
        <f t="shared" si="3"/>
        <v>0</v>
      </c>
    </row>
    <row r="203" spans="1:11" ht="25.5" customHeight="1" x14ac:dyDescent="0.45">
      <c r="A203" s="15" t="s">
        <v>237</v>
      </c>
      <c r="B203" s="16" t="s">
        <v>241</v>
      </c>
      <c r="C203" s="17" t="s">
        <v>14</v>
      </c>
      <c r="D203" s="18" t="s">
        <v>14</v>
      </c>
      <c r="E203" s="18" t="s">
        <v>14</v>
      </c>
      <c r="F203" s="19"/>
      <c r="J203">
        <f t="shared" si="3"/>
        <v>0</v>
      </c>
    </row>
    <row r="204" spans="1:11" ht="25.5" customHeight="1" x14ac:dyDescent="0.45">
      <c r="A204" s="15" t="s">
        <v>237</v>
      </c>
      <c r="B204" s="16" t="s">
        <v>242</v>
      </c>
      <c r="C204" s="17" t="s">
        <v>14</v>
      </c>
      <c r="D204" s="18" t="s">
        <v>14</v>
      </c>
      <c r="E204" s="18" t="s">
        <v>14</v>
      </c>
      <c r="F204" s="19"/>
      <c r="J204">
        <f t="shared" si="3"/>
        <v>0</v>
      </c>
    </row>
    <row r="205" spans="1:11" ht="25.5" customHeight="1" x14ac:dyDescent="0.45">
      <c r="A205" s="15" t="s">
        <v>237</v>
      </c>
      <c r="B205" s="16" t="s">
        <v>243</v>
      </c>
      <c r="C205" s="17" t="s">
        <v>13</v>
      </c>
      <c r="D205" s="18" t="s">
        <v>13</v>
      </c>
      <c r="E205" s="18" t="s">
        <v>14</v>
      </c>
      <c r="F205" s="19"/>
      <c r="J205">
        <f t="shared" si="3"/>
        <v>0</v>
      </c>
    </row>
    <row r="206" spans="1:11" ht="25.5" customHeight="1" x14ac:dyDescent="0.45">
      <c r="A206" s="15" t="s">
        <v>237</v>
      </c>
      <c r="B206" s="16" t="s">
        <v>244</v>
      </c>
      <c r="C206" s="17" t="s">
        <v>13</v>
      </c>
      <c r="D206" s="18" t="s">
        <v>13</v>
      </c>
      <c r="E206" s="18" t="s">
        <v>14</v>
      </c>
      <c r="F206" s="19"/>
      <c r="J206">
        <f t="shared" si="3"/>
        <v>0</v>
      </c>
    </row>
    <row r="207" spans="1:11" ht="25.5" customHeight="1" x14ac:dyDescent="0.45">
      <c r="A207" s="15" t="s">
        <v>237</v>
      </c>
      <c r="B207" s="16" t="s">
        <v>245</v>
      </c>
      <c r="C207" s="17" t="s">
        <v>13</v>
      </c>
      <c r="D207" s="18" t="s">
        <v>13</v>
      </c>
      <c r="E207" s="18" t="s">
        <v>13</v>
      </c>
      <c r="F207" s="19"/>
      <c r="J207">
        <f t="shared" si="3"/>
        <v>0</v>
      </c>
    </row>
    <row r="208" spans="1:11" ht="28.5" customHeight="1" x14ac:dyDescent="0.45">
      <c r="A208" s="15" t="s">
        <v>237</v>
      </c>
      <c r="B208" s="16" t="s">
        <v>246</v>
      </c>
      <c r="C208" s="17" t="s">
        <v>13</v>
      </c>
      <c r="D208" s="18" t="s">
        <v>13</v>
      </c>
      <c r="E208" s="18" t="s">
        <v>13</v>
      </c>
      <c r="F208" s="19" t="s">
        <v>247</v>
      </c>
      <c r="J208">
        <f t="shared" si="3"/>
        <v>0</v>
      </c>
    </row>
    <row r="209" spans="1:11" ht="25.5" customHeight="1" x14ac:dyDescent="0.45">
      <c r="A209" s="15" t="s">
        <v>237</v>
      </c>
      <c r="B209" s="16" t="s">
        <v>248</v>
      </c>
      <c r="C209" s="17" t="s">
        <v>14</v>
      </c>
      <c r="D209" s="18" t="s">
        <v>14</v>
      </c>
      <c r="E209" s="18" t="s">
        <v>14</v>
      </c>
      <c r="F209" s="19" t="s">
        <v>249</v>
      </c>
      <c r="H209">
        <v>3</v>
      </c>
      <c r="J209">
        <f t="shared" si="3"/>
        <v>3</v>
      </c>
      <c r="K209" t="s">
        <v>14</v>
      </c>
    </row>
    <row r="210" spans="1:11" ht="25.5" customHeight="1" x14ac:dyDescent="0.45">
      <c r="A210" s="15" t="s">
        <v>237</v>
      </c>
      <c r="B210" s="16" t="s">
        <v>250</v>
      </c>
      <c r="C210" s="17" t="s">
        <v>14</v>
      </c>
      <c r="D210" s="18" t="s">
        <v>14</v>
      </c>
      <c r="E210" s="18" t="s">
        <v>14</v>
      </c>
      <c r="F210" s="19"/>
      <c r="J210">
        <f t="shared" si="3"/>
        <v>0</v>
      </c>
    </row>
    <row r="211" spans="1:11" ht="25.5" customHeight="1" x14ac:dyDescent="0.45">
      <c r="A211" s="15" t="s">
        <v>237</v>
      </c>
      <c r="B211" s="16" t="s">
        <v>251</v>
      </c>
      <c r="C211" s="17" t="s">
        <v>13</v>
      </c>
      <c r="D211" s="18" t="s">
        <v>13</v>
      </c>
      <c r="E211" s="18" t="s">
        <v>13</v>
      </c>
      <c r="F211" s="19"/>
      <c r="J211">
        <f t="shared" si="3"/>
        <v>0</v>
      </c>
    </row>
    <row r="212" spans="1:11" ht="25.5" customHeight="1" x14ac:dyDescent="0.45">
      <c r="A212" s="15" t="s">
        <v>237</v>
      </c>
      <c r="B212" s="16" t="s">
        <v>252</v>
      </c>
      <c r="C212" s="17" t="s">
        <v>14</v>
      </c>
      <c r="D212" s="18" t="s">
        <v>14</v>
      </c>
      <c r="E212" s="18" t="s">
        <v>14</v>
      </c>
      <c r="F212" s="19"/>
      <c r="J212">
        <f t="shared" si="3"/>
        <v>0</v>
      </c>
    </row>
    <row r="213" spans="1:11" ht="25.5" customHeight="1" x14ac:dyDescent="0.45">
      <c r="A213" s="15" t="s">
        <v>253</v>
      </c>
      <c r="B213" s="16" t="s">
        <v>254</v>
      </c>
      <c r="C213" s="17" t="s">
        <v>14</v>
      </c>
      <c r="D213" s="18" t="s">
        <v>14</v>
      </c>
      <c r="E213" s="18" t="s">
        <v>14</v>
      </c>
      <c r="F213" s="19"/>
      <c r="J213">
        <f t="shared" si="3"/>
        <v>0</v>
      </c>
    </row>
    <row r="214" spans="1:11" ht="25.5" customHeight="1" x14ac:dyDescent="0.45">
      <c r="A214" s="15" t="s">
        <v>253</v>
      </c>
      <c r="B214" s="16" t="s">
        <v>255</v>
      </c>
      <c r="C214" s="17" t="s">
        <v>14</v>
      </c>
      <c r="D214" s="18" t="s">
        <v>14</v>
      </c>
      <c r="E214" s="18" t="s">
        <v>14</v>
      </c>
      <c r="F214" s="19"/>
      <c r="J214">
        <f t="shared" si="3"/>
        <v>0</v>
      </c>
    </row>
    <row r="215" spans="1:11" ht="25.5" customHeight="1" x14ac:dyDescent="0.45">
      <c r="A215" s="15" t="s">
        <v>253</v>
      </c>
      <c r="B215" s="16" t="s">
        <v>256</v>
      </c>
      <c r="C215" s="17" t="s">
        <v>14</v>
      </c>
      <c r="D215" s="18" t="s">
        <v>14</v>
      </c>
      <c r="E215" s="18" t="s">
        <v>14</v>
      </c>
      <c r="F215" s="19"/>
      <c r="I215">
        <v>2</v>
      </c>
      <c r="J215">
        <f t="shared" si="3"/>
        <v>2</v>
      </c>
      <c r="K215" t="s">
        <v>14</v>
      </c>
    </row>
    <row r="216" spans="1:11" ht="25.5" customHeight="1" x14ac:dyDescent="0.45">
      <c r="A216" s="15" t="s">
        <v>253</v>
      </c>
      <c r="B216" s="16" t="s">
        <v>257</v>
      </c>
      <c r="C216" s="17" t="s">
        <v>14</v>
      </c>
      <c r="D216" s="20" t="s">
        <v>14</v>
      </c>
      <c r="E216" s="20" t="s">
        <v>14</v>
      </c>
      <c r="F216" s="21"/>
      <c r="J216">
        <f t="shared" si="3"/>
        <v>0</v>
      </c>
    </row>
    <row r="217" spans="1:11" ht="25.5" customHeight="1" x14ac:dyDescent="0.45">
      <c r="A217" s="15" t="s">
        <v>253</v>
      </c>
      <c r="B217" s="16" t="s">
        <v>258</v>
      </c>
      <c r="C217" s="17" t="s">
        <v>14</v>
      </c>
      <c r="D217" s="18" t="s">
        <v>14</v>
      </c>
      <c r="E217" s="18" t="s">
        <v>14</v>
      </c>
      <c r="F217" s="19"/>
      <c r="H217">
        <v>1</v>
      </c>
      <c r="J217">
        <f t="shared" si="3"/>
        <v>1</v>
      </c>
      <c r="K217" t="s">
        <v>13</v>
      </c>
    </row>
    <row r="218" spans="1:11" ht="25.5" customHeight="1" x14ac:dyDescent="0.45">
      <c r="A218" s="15" t="s">
        <v>253</v>
      </c>
      <c r="B218" s="16" t="s">
        <v>259</v>
      </c>
      <c r="C218" s="17" t="s">
        <v>14</v>
      </c>
      <c r="D218" s="18" t="s">
        <v>14</v>
      </c>
      <c r="E218" s="18" t="s">
        <v>14</v>
      </c>
      <c r="F218" s="19"/>
      <c r="J218">
        <f t="shared" si="3"/>
        <v>0</v>
      </c>
    </row>
    <row r="219" spans="1:11" ht="25.5" customHeight="1" x14ac:dyDescent="0.45">
      <c r="A219" s="15" t="s">
        <v>253</v>
      </c>
      <c r="B219" s="16" t="s">
        <v>260</v>
      </c>
      <c r="C219" s="17" t="s">
        <v>13</v>
      </c>
      <c r="D219" s="18" t="s">
        <v>13</v>
      </c>
      <c r="E219" s="18" t="s">
        <v>14</v>
      </c>
      <c r="F219" s="19"/>
      <c r="J219">
        <f t="shared" si="3"/>
        <v>0</v>
      </c>
    </row>
    <row r="220" spans="1:11" ht="25.5" customHeight="1" x14ac:dyDescent="0.45">
      <c r="A220" s="15" t="s">
        <v>253</v>
      </c>
      <c r="B220" s="16" t="s">
        <v>261</v>
      </c>
      <c r="C220" s="17" t="s">
        <v>13</v>
      </c>
      <c r="D220" s="18" t="s">
        <v>13</v>
      </c>
      <c r="E220" s="18" t="s">
        <v>14</v>
      </c>
      <c r="F220" s="19"/>
      <c r="J220">
        <f t="shared" si="3"/>
        <v>0</v>
      </c>
    </row>
    <row r="221" spans="1:11" ht="25.5" customHeight="1" x14ac:dyDescent="0.45">
      <c r="A221" s="15" t="s">
        <v>253</v>
      </c>
      <c r="B221" s="16" t="s">
        <v>262</v>
      </c>
      <c r="C221" s="17" t="s">
        <v>13</v>
      </c>
      <c r="D221" s="18" t="s">
        <v>13</v>
      </c>
      <c r="E221" s="18" t="s">
        <v>14</v>
      </c>
      <c r="F221" s="19"/>
      <c r="I221">
        <v>1</v>
      </c>
      <c r="J221">
        <f t="shared" si="3"/>
        <v>1</v>
      </c>
      <c r="K221" t="s">
        <v>13</v>
      </c>
    </row>
    <row r="222" spans="1:11" ht="25.5" customHeight="1" x14ac:dyDescent="0.45">
      <c r="A222" s="15" t="s">
        <v>253</v>
      </c>
      <c r="B222" s="16" t="s">
        <v>263</v>
      </c>
      <c r="C222" s="17" t="s">
        <v>14</v>
      </c>
      <c r="D222" s="18" t="s">
        <v>14</v>
      </c>
      <c r="E222" s="18" t="s">
        <v>14</v>
      </c>
      <c r="F222" s="19"/>
      <c r="J222">
        <f t="shared" si="3"/>
        <v>0</v>
      </c>
    </row>
    <row r="223" spans="1:11" ht="25.5" customHeight="1" x14ac:dyDescent="0.45">
      <c r="A223" s="15" t="s">
        <v>253</v>
      </c>
      <c r="B223" s="16" t="s">
        <v>264</v>
      </c>
      <c r="C223" s="17" t="s">
        <v>13</v>
      </c>
      <c r="D223" s="18" t="s">
        <v>13</v>
      </c>
      <c r="E223" s="18" t="s">
        <v>14</v>
      </c>
      <c r="F223" s="19"/>
      <c r="J223">
        <f t="shared" si="3"/>
        <v>0</v>
      </c>
    </row>
    <row r="224" spans="1:11" ht="25.5" customHeight="1" x14ac:dyDescent="0.45">
      <c r="A224" s="15" t="s">
        <v>265</v>
      </c>
      <c r="B224" s="16" t="s">
        <v>266</v>
      </c>
      <c r="C224" s="17" t="s">
        <v>14</v>
      </c>
      <c r="D224" s="20" t="s">
        <v>14</v>
      </c>
      <c r="E224" s="20" t="s">
        <v>14</v>
      </c>
      <c r="F224" s="21"/>
      <c r="I224">
        <v>2</v>
      </c>
      <c r="J224">
        <f t="shared" si="3"/>
        <v>2</v>
      </c>
      <c r="K224" t="s">
        <v>14</v>
      </c>
    </row>
    <row r="225" spans="1:11" ht="25.5" customHeight="1" x14ac:dyDescent="0.45">
      <c r="A225" s="15" t="s">
        <v>265</v>
      </c>
      <c r="B225" s="16" t="s">
        <v>267</v>
      </c>
      <c r="C225" s="17" t="s">
        <v>14</v>
      </c>
      <c r="D225" s="18" t="s">
        <v>14</v>
      </c>
      <c r="E225" s="18" t="s">
        <v>14</v>
      </c>
      <c r="F225" s="19"/>
      <c r="J225">
        <f t="shared" si="3"/>
        <v>0</v>
      </c>
    </row>
    <row r="226" spans="1:11" ht="25.5" customHeight="1" x14ac:dyDescent="0.45">
      <c r="A226" s="15" t="s">
        <v>265</v>
      </c>
      <c r="B226" s="16" t="s">
        <v>268</v>
      </c>
      <c r="C226" s="17" t="s">
        <v>14</v>
      </c>
      <c r="D226" s="18" t="s">
        <v>14</v>
      </c>
      <c r="E226" s="18" t="s">
        <v>14</v>
      </c>
      <c r="F226" s="19"/>
      <c r="I226">
        <v>1</v>
      </c>
      <c r="J226">
        <f t="shared" si="3"/>
        <v>1</v>
      </c>
      <c r="K226" t="s">
        <v>13</v>
      </c>
    </row>
    <row r="227" spans="1:11" ht="25.5" customHeight="1" x14ac:dyDescent="0.45">
      <c r="A227" s="15" t="s">
        <v>265</v>
      </c>
      <c r="B227" s="16" t="s">
        <v>269</v>
      </c>
      <c r="C227" s="17" t="s">
        <v>14</v>
      </c>
      <c r="D227" s="18" t="s">
        <v>14</v>
      </c>
      <c r="E227" s="18" t="s">
        <v>13</v>
      </c>
      <c r="F227" s="19"/>
      <c r="J227">
        <f t="shared" si="3"/>
        <v>0</v>
      </c>
    </row>
    <row r="228" spans="1:11" ht="25.5" customHeight="1" x14ac:dyDescent="0.45">
      <c r="A228" s="15" t="s">
        <v>265</v>
      </c>
      <c r="B228" s="16" t="s">
        <v>270</v>
      </c>
      <c r="C228" s="17" t="s">
        <v>13</v>
      </c>
      <c r="D228" s="18" t="s">
        <v>13</v>
      </c>
      <c r="E228" s="18" t="s">
        <v>13</v>
      </c>
      <c r="F228" s="19"/>
      <c r="J228">
        <f t="shared" si="3"/>
        <v>0</v>
      </c>
    </row>
    <row r="229" spans="1:11" ht="25.5" customHeight="1" x14ac:dyDescent="0.45">
      <c r="A229" s="15" t="s">
        <v>265</v>
      </c>
      <c r="B229" s="16" t="s">
        <v>271</v>
      </c>
      <c r="C229" s="17" t="s">
        <v>14</v>
      </c>
      <c r="D229" s="20" t="s">
        <v>14</v>
      </c>
      <c r="E229" s="20" t="s">
        <v>14</v>
      </c>
      <c r="F229" s="21"/>
      <c r="I229">
        <v>3</v>
      </c>
      <c r="J229">
        <f t="shared" si="3"/>
        <v>3</v>
      </c>
      <c r="K229" t="s">
        <v>14</v>
      </c>
    </row>
    <row r="230" spans="1:11" x14ac:dyDescent="0.45">
      <c r="A230" s="15" t="s">
        <v>265</v>
      </c>
      <c r="B230" s="16" t="s">
        <v>272</v>
      </c>
      <c r="C230" s="17" t="s">
        <v>14</v>
      </c>
      <c r="D230" s="20" t="s">
        <v>14</v>
      </c>
      <c r="E230" s="20" t="s">
        <v>14</v>
      </c>
      <c r="F230" s="21"/>
      <c r="I230">
        <v>3</v>
      </c>
      <c r="J230">
        <f t="shared" si="3"/>
        <v>3</v>
      </c>
      <c r="K230" t="s">
        <v>14</v>
      </c>
    </row>
    <row r="231" spans="1:11" ht="25.5" customHeight="1" x14ac:dyDescent="0.45">
      <c r="A231" s="15" t="s">
        <v>265</v>
      </c>
      <c r="B231" s="16" t="s">
        <v>273</v>
      </c>
      <c r="C231" s="17" t="s">
        <v>14</v>
      </c>
      <c r="D231" s="18" t="s">
        <v>14</v>
      </c>
      <c r="E231" s="18" t="s">
        <v>14</v>
      </c>
      <c r="F231" s="19"/>
      <c r="J231">
        <f t="shared" si="3"/>
        <v>0</v>
      </c>
    </row>
    <row r="232" spans="1:11" x14ac:dyDescent="0.45">
      <c r="A232" s="15" t="s">
        <v>265</v>
      </c>
      <c r="B232" s="16" t="s">
        <v>274</v>
      </c>
      <c r="C232" s="17" t="s">
        <v>14</v>
      </c>
      <c r="D232" s="18" t="s">
        <v>14</v>
      </c>
      <c r="E232" s="18" t="s">
        <v>13</v>
      </c>
      <c r="F232" s="19"/>
      <c r="J232">
        <f t="shared" si="3"/>
        <v>0</v>
      </c>
    </row>
    <row r="233" spans="1:11" ht="25.5" customHeight="1" x14ac:dyDescent="0.45">
      <c r="A233" s="15" t="s">
        <v>265</v>
      </c>
      <c r="B233" s="16" t="s">
        <v>275</v>
      </c>
      <c r="C233" s="17" t="s">
        <v>14</v>
      </c>
      <c r="D233" s="18" t="s">
        <v>14</v>
      </c>
      <c r="E233" s="18" t="s">
        <v>13</v>
      </c>
      <c r="F233" s="19"/>
      <c r="J233">
        <f t="shared" si="3"/>
        <v>0</v>
      </c>
    </row>
    <row r="234" spans="1:11" ht="25.5" customHeight="1" x14ac:dyDescent="0.45">
      <c r="A234" s="15" t="s">
        <v>265</v>
      </c>
      <c r="B234" s="16" t="s">
        <v>276</v>
      </c>
      <c r="C234" s="17" t="s">
        <v>14</v>
      </c>
      <c r="D234" s="18" t="s">
        <v>14</v>
      </c>
      <c r="E234" s="18" t="s">
        <v>14</v>
      </c>
      <c r="F234" s="19"/>
      <c r="J234">
        <f t="shared" si="3"/>
        <v>0</v>
      </c>
    </row>
    <row r="235" spans="1:11" ht="25.5" customHeight="1" x14ac:dyDescent="0.45">
      <c r="A235" s="15" t="s">
        <v>265</v>
      </c>
      <c r="B235" s="16" t="s">
        <v>277</v>
      </c>
      <c r="C235" s="17" t="s">
        <v>13</v>
      </c>
      <c r="D235" s="18" t="s">
        <v>13</v>
      </c>
      <c r="E235" s="18" t="s">
        <v>13</v>
      </c>
      <c r="F235" s="19"/>
      <c r="J235">
        <f t="shared" si="3"/>
        <v>0</v>
      </c>
    </row>
    <row r="236" spans="1:11" ht="25.5" customHeight="1" x14ac:dyDescent="0.45">
      <c r="A236" s="15" t="s">
        <v>265</v>
      </c>
      <c r="B236" s="16" t="s">
        <v>278</v>
      </c>
      <c r="C236" s="17" t="s">
        <v>14</v>
      </c>
      <c r="D236" s="18" t="s">
        <v>14</v>
      </c>
      <c r="E236" s="18" t="s">
        <v>14</v>
      </c>
      <c r="F236" s="19"/>
      <c r="I236">
        <v>1</v>
      </c>
      <c r="J236">
        <f t="shared" si="3"/>
        <v>1</v>
      </c>
      <c r="K236" t="s">
        <v>13</v>
      </c>
    </row>
    <row r="237" spans="1:11" ht="25.5" customHeight="1" x14ac:dyDescent="0.45">
      <c r="A237" s="15" t="s">
        <v>279</v>
      </c>
      <c r="B237" s="16" t="s">
        <v>280</v>
      </c>
      <c r="C237" s="17" t="s">
        <v>14</v>
      </c>
      <c r="D237" s="20" t="s">
        <v>14</v>
      </c>
      <c r="E237" s="20" t="s">
        <v>14</v>
      </c>
      <c r="F237" s="21"/>
      <c r="G237">
        <v>3</v>
      </c>
      <c r="J237">
        <f t="shared" si="3"/>
        <v>3</v>
      </c>
      <c r="K237" t="s">
        <v>14</v>
      </c>
    </row>
    <row r="238" spans="1:11" ht="25.5" customHeight="1" x14ac:dyDescent="0.45">
      <c r="A238" s="15" t="s">
        <v>279</v>
      </c>
      <c r="B238" s="16" t="s">
        <v>281</v>
      </c>
      <c r="C238" s="17" t="s">
        <v>14</v>
      </c>
      <c r="D238" s="20" t="s">
        <v>14</v>
      </c>
      <c r="E238" s="20" t="s">
        <v>14</v>
      </c>
      <c r="F238" s="21"/>
      <c r="J238">
        <f t="shared" si="3"/>
        <v>0</v>
      </c>
    </row>
    <row r="239" spans="1:11" ht="25.5" customHeight="1" x14ac:dyDescent="0.45">
      <c r="A239" s="15" t="s">
        <v>279</v>
      </c>
      <c r="B239" s="16" t="s">
        <v>282</v>
      </c>
      <c r="C239" s="17" t="s">
        <v>14</v>
      </c>
      <c r="D239" s="18" t="s">
        <v>14</v>
      </c>
      <c r="E239" s="18" t="s">
        <v>14</v>
      </c>
      <c r="F239" s="19"/>
      <c r="J239">
        <f t="shared" si="3"/>
        <v>0</v>
      </c>
    </row>
    <row r="240" spans="1:11" ht="25.5" customHeight="1" x14ac:dyDescent="0.45">
      <c r="A240" s="15" t="s">
        <v>279</v>
      </c>
      <c r="B240" s="16" t="s">
        <v>283</v>
      </c>
      <c r="C240" s="17" t="s">
        <v>14</v>
      </c>
      <c r="D240" s="18" t="s">
        <v>14</v>
      </c>
      <c r="E240" s="18" t="s">
        <v>14</v>
      </c>
      <c r="F240" s="19"/>
      <c r="J240">
        <f t="shared" si="3"/>
        <v>0</v>
      </c>
    </row>
    <row r="241" spans="1:11" ht="28.5" customHeight="1" x14ac:dyDescent="0.45">
      <c r="A241" s="15" t="s">
        <v>279</v>
      </c>
      <c r="B241" s="16" t="s">
        <v>284</v>
      </c>
      <c r="C241" s="17" t="s">
        <v>14</v>
      </c>
      <c r="D241" s="18" t="s">
        <v>14</v>
      </c>
      <c r="E241" s="18" t="s">
        <v>13</v>
      </c>
      <c r="F241" s="19" t="s">
        <v>285</v>
      </c>
      <c r="J241">
        <f t="shared" si="3"/>
        <v>0</v>
      </c>
    </row>
    <row r="242" spans="1:11" ht="25.5" customHeight="1" x14ac:dyDescent="0.45">
      <c r="A242" s="15" t="s">
        <v>279</v>
      </c>
      <c r="B242" s="16" t="s">
        <v>286</v>
      </c>
      <c r="C242" s="17" t="s">
        <v>13</v>
      </c>
      <c r="D242" s="18" t="s">
        <v>13</v>
      </c>
      <c r="E242" s="18" t="s">
        <v>14</v>
      </c>
      <c r="F242" s="19"/>
      <c r="G242">
        <v>2</v>
      </c>
      <c r="J242">
        <f t="shared" si="3"/>
        <v>2</v>
      </c>
      <c r="K242" t="s">
        <v>14</v>
      </c>
    </row>
    <row r="243" spans="1:11" ht="25.5" customHeight="1" x14ac:dyDescent="0.45">
      <c r="A243" s="15" t="s">
        <v>279</v>
      </c>
      <c r="B243" s="16" t="s">
        <v>287</v>
      </c>
      <c r="C243" s="17" t="s">
        <v>13</v>
      </c>
      <c r="D243" s="18" t="s">
        <v>14</v>
      </c>
      <c r="E243" s="18" t="s">
        <v>14</v>
      </c>
      <c r="F243" s="19"/>
      <c r="J243">
        <f t="shared" si="3"/>
        <v>0</v>
      </c>
    </row>
    <row r="244" spans="1:11" ht="25.5" customHeight="1" x14ac:dyDescent="0.45">
      <c r="A244" s="15" t="s">
        <v>279</v>
      </c>
      <c r="B244" s="16" t="s">
        <v>288</v>
      </c>
      <c r="C244" s="17" t="s">
        <v>14</v>
      </c>
      <c r="D244" s="18" t="s">
        <v>14</v>
      </c>
      <c r="E244" s="18" t="s">
        <v>13</v>
      </c>
      <c r="F244" s="19"/>
      <c r="J244">
        <f t="shared" si="3"/>
        <v>0</v>
      </c>
    </row>
    <row r="245" spans="1:11" x14ac:dyDescent="0.45">
      <c r="A245" s="15" t="s">
        <v>279</v>
      </c>
      <c r="B245" s="16" t="s">
        <v>289</v>
      </c>
      <c r="C245" s="17" t="s">
        <v>13</v>
      </c>
      <c r="D245" s="18" t="s">
        <v>13</v>
      </c>
      <c r="E245" s="18" t="s">
        <v>13</v>
      </c>
      <c r="F245" s="19"/>
      <c r="J245">
        <f t="shared" si="3"/>
        <v>0</v>
      </c>
    </row>
    <row r="246" spans="1:11" ht="25.5" customHeight="1" x14ac:dyDescent="0.45">
      <c r="A246" s="15" t="s">
        <v>279</v>
      </c>
      <c r="B246" s="16" t="s">
        <v>290</v>
      </c>
      <c r="C246" s="17" t="s">
        <v>13</v>
      </c>
      <c r="D246" s="18" t="s">
        <v>14</v>
      </c>
      <c r="E246" s="18" t="s">
        <v>13</v>
      </c>
      <c r="F246" s="19"/>
      <c r="J246">
        <f t="shared" si="3"/>
        <v>0</v>
      </c>
    </row>
    <row r="247" spans="1:11" ht="25.5" customHeight="1" x14ac:dyDescent="0.45">
      <c r="A247" s="15" t="s">
        <v>279</v>
      </c>
      <c r="B247" s="16" t="s">
        <v>291</v>
      </c>
      <c r="C247" s="17" t="s">
        <v>13</v>
      </c>
      <c r="D247" s="18" t="s">
        <v>13</v>
      </c>
      <c r="E247" s="18" t="s">
        <v>14</v>
      </c>
      <c r="F247" s="19"/>
      <c r="J247">
        <f t="shared" si="3"/>
        <v>0</v>
      </c>
    </row>
    <row r="248" spans="1:11" ht="25.5" customHeight="1" x14ac:dyDescent="0.45">
      <c r="A248" s="15" t="s">
        <v>279</v>
      </c>
      <c r="B248" s="16" t="s">
        <v>292</v>
      </c>
      <c r="C248" s="17" t="s">
        <v>13</v>
      </c>
      <c r="D248" s="18" t="s">
        <v>14</v>
      </c>
      <c r="E248" s="18" t="s">
        <v>14</v>
      </c>
      <c r="F248" s="19"/>
      <c r="I248">
        <v>4</v>
      </c>
      <c r="J248">
        <f t="shared" si="3"/>
        <v>4</v>
      </c>
      <c r="K248" t="s">
        <v>14</v>
      </c>
    </row>
    <row r="249" spans="1:11" ht="25.5" customHeight="1" x14ac:dyDescent="0.45">
      <c r="A249" s="15" t="s">
        <v>279</v>
      </c>
      <c r="B249" s="16" t="s">
        <v>293</v>
      </c>
      <c r="C249" s="17" t="s">
        <v>14</v>
      </c>
      <c r="D249" s="18" t="s">
        <v>14</v>
      </c>
      <c r="E249" s="18" t="s">
        <v>14</v>
      </c>
      <c r="F249" s="19"/>
      <c r="J249">
        <f t="shared" si="3"/>
        <v>0</v>
      </c>
    </row>
    <row r="250" spans="1:11" ht="25.5" customHeight="1" x14ac:dyDescent="0.45">
      <c r="A250" s="15" t="s">
        <v>294</v>
      </c>
      <c r="B250" s="16" t="s">
        <v>295</v>
      </c>
      <c r="C250" s="17" t="s">
        <v>14</v>
      </c>
      <c r="D250" s="18" t="s">
        <v>14</v>
      </c>
      <c r="E250" s="18" t="s">
        <v>14</v>
      </c>
      <c r="F250" s="19"/>
      <c r="G250">
        <v>1</v>
      </c>
      <c r="J250">
        <f t="shared" si="3"/>
        <v>1</v>
      </c>
      <c r="K250" t="s">
        <v>13</v>
      </c>
    </row>
    <row r="251" spans="1:11" ht="25.5" customHeight="1" x14ac:dyDescent="0.45">
      <c r="A251" s="15" t="s">
        <v>294</v>
      </c>
      <c r="B251" s="16" t="s">
        <v>296</v>
      </c>
      <c r="C251" s="17" t="s">
        <v>14</v>
      </c>
      <c r="D251" s="18" t="s">
        <v>14</v>
      </c>
      <c r="E251" s="18" t="s">
        <v>14</v>
      </c>
      <c r="F251" s="19"/>
      <c r="J251">
        <f t="shared" si="3"/>
        <v>0</v>
      </c>
    </row>
    <row r="252" spans="1:11" ht="25.5" customHeight="1" x14ac:dyDescent="0.45">
      <c r="A252" s="15" t="s">
        <v>294</v>
      </c>
      <c r="B252" s="16" t="s">
        <v>297</v>
      </c>
      <c r="C252" s="17" t="s">
        <v>14</v>
      </c>
      <c r="D252" s="18" t="s">
        <v>14</v>
      </c>
      <c r="E252" s="18" t="s">
        <v>14</v>
      </c>
      <c r="F252" s="19"/>
      <c r="J252">
        <f t="shared" si="3"/>
        <v>0</v>
      </c>
    </row>
    <row r="253" spans="1:11" ht="25.5" customHeight="1" x14ac:dyDescent="0.45">
      <c r="A253" s="15" t="s">
        <v>294</v>
      </c>
      <c r="B253" s="16" t="s">
        <v>298</v>
      </c>
      <c r="C253" s="17" t="s">
        <v>13</v>
      </c>
      <c r="D253" s="18" t="s">
        <v>14</v>
      </c>
      <c r="E253" s="18" t="s">
        <v>14</v>
      </c>
      <c r="F253" s="19"/>
      <c r="J253">
        <f t="shared" si="3"/>
        <v>0</v>
      </c>
    </row>
    <row r="254" spans="1:11" ht="25.5" customHeight="1" x14ac:dyDescent="0.45">
      <c r="A254" s="15" t="s">
        <v>294</v>
      </c>
      <c r="B254" s="16" t="s">
        <v>299</v>
      </c>
      <c r="C254" s="17" t="s">
        <v>14</v>
      </c>
      <c r="D254" s="18" t="s">
        <v>14</v>
      </c>
      <c r="E254" s="18" t="s">
        <v>14</v>
      </c>
      <c r="F254" s="19"/>
      <c r="J254">
        <f t="shared" si="3"/>
        <v>0</v>
      </c>
    </row>
    <row r="255" spans="1:11" ht="25.5" customHeight="1" x14ac:dyDescent="0.45">
      <c r="A255" s="15" t="s">
        <v>294</v>
      </c>
      <c r="B255" s="16" t="s">
        <v>300</v>
      </c>
      <c r="C255" s="17" t="s">
        <v>14</v>
      </c>
      <c r="D255" s="18" t="s">
        <v>14</v>
      </c>
      <c r="E255" s="18" t="s">
        <v>14</v>
      </c>
      <c r="F255" s="19"/>
      <c r="J255">
        <f t="shared" si="3"/>
        <v>0</v>
      </c>
    </row>
    <row r="256" spans="1:11" ht="25.5" customHeight="1" x14ac:dyDescent="0.45">
      <c r="A256" s="15" t="s">
        <v>294</v>
      </c>
      <c r="B256" s="16" t="s">
        <v>301</v>
      </c>
      <c r="C256" s="17" t="s">
        <v>14</v>
      </c>
      <c r="D256" s="18" t="s">
        <v>14</v>
      </c>
      <c r="E256" s="18" t="s">
        <v>14</v>
      </c>
      <c r="F256" s="19"/>
      <c r="G256">
        <v>1</v>
      </c>
      <c r="J256">
        <f t="shared" si="3"/>
        <v>1</v>
      </c>
      <c r="K256" t="s">
        <v>13</v>
      </c>
    </row>
    <row r="257" spans="1:10" x14ac:dyDescent="0.45">
      <c r="A257" s="15" t="s">
        <v>294</v>
      </c>
      <c r="B257" s="16" t="s">
        <v>302</v>
      </c>
      <c r="C257" s="17" t="s">
        <v>13</v>
      </c>
      <c r="D257" s="18" t="s">
        <v>13</v>
      </c>
      <c r="E257" s="18" t="s">
        <v>13</v>
      </c>
      <c r="F257" s="19"/>
      <c r="J257">
        <f t="shared" si="3"/>
        <v>0</v>
      </c>
    </row>
    <row r="258" spans="1:10" ht="25.5" customHeight="1" x14ac:dyDescent="0.45">
      <c r="A258" s="15" t="s">
        <v>294</v>
      </c>
      <c r="B258" s="16" t="s">
        <v>303</v>
      </c>
      <c r="C258" s="17" t="s">
        <v>13</v>
      </c>
      <c r="D258" s="18" t="s">
        <v>13</v>
      </c>
      <c r="E258" s="18" t="s">
        <v>14</v>
      </c>
      <c r="F258" s="19"/>
      <c r="J258">
        <f t="shared" ref="J258:J321" si="4">SUM(G258:I258)</f>
        <v>0</v>
      </c>
    </row>
    <row r="259" spans="1:10" ht="25.5" customHeight="1" x14ac:dyDescent="0.45">
      <c r="A259" s="15" t="s">
        <v>294</v>
      </c>
      <c r="B259" s="16" t="s">
        <v>304</v>
      </c>
      <c r="C259" s="17" t="s">
        <v>13</v>
      </c>
      <c r="D259" s="18" t="s">
        <v>13</v>
      </c>
      <c r="E259" s="18" t="s">
        <v>13</v>
      </c>
      <c r="F259" s="19"/>
      <c r="J259">
        <f t="shared" si="4"/>
        <v>0</v>
      </c>
    </row>
    <row r="260" spans="1:10" ht="25.5" customHeight="1" x14ac:dyDescent="0.45">
      <c r="A260" s="15" t="s">
        <v>294</v>
      </c>
      <c r="B260" s="16" t="s">
        <v>305</v>
      </c>
      <c r="C260" s="17" t="s">
        <v>14</v>
      </c>
      <c r="D260" s="18" t="s">
        <v>14</v>
      </c>
      <c r="E260" s="18" t="s">
        <v>13</v>
      </c>
      <c r="F260" s="19"/>
      <c r="J260">
        <f t="shared" si="4"/>
        <v>0</v>
      </c>
    </row>
    <row r="261" spans="1:10" ht="99.75" customHeight="1" x14ac:dyDescent="0.45">
      <c r="A261" s="15" t="s">
        <v>306</v>
      </c>
      <c r="B261" s="16" t="s">
        <v>307</v>
      </c>
      <c r="C261" s="17"/>
      <c r="D261" s="18"/>
      <c r="E261" s="18"/>
      <c r="F261" s="19" t="s">
        <v>308</v>
      </c>
      <c r="J261">
        <f t="shared" si="4"/>
        <v>0</v>
      </c>
    </row>
    <row r="262" spans="1:10" ht="25.5" customHeight="1" x14ac:dyDescent="0.45">
      <c r="A262" s="15" t="s">
        <v>306</v>
      </c>
      <c r="B262" s="16" t="s">
        <v>309</v>
      </c>
      <c r="C262" s="17"/>
      <c r="D262" s="18"/>
      <c r="E262" s="18" t="s">
        <v>14</v>
      </c>
      <c r="F262" s="19"/>
      <c r="J262">
        <f t="shared" si="4"/>
        <v>0</v>
      </c>
    </row>
    <row r="263" spans="1:10" ht="25.5" customHeight="1" x14ac:dyDescent="0.45">
      <c r="A263" s="15" t="s">
        <v>306</v>
      </c>
      <c r="B263" s="16" t="s">
        <v>310</v>
      </c>
      <c r="C263" s="17"/>
      <c r="D263" s="18"/>
      <c r="E263" s="18" t="s">
        <v>13</v>
      </c>
      <c r="F263" s="19"/>
      <c r="J263">
        <f t="shared" si="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G27" sqref="G27"/>
    </sheetView>
  </sheetViews>
  <sheetFormatPr baseColWidth="10"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8"/>
  <sheetViews>
    <sheetView workbookViewId="0">
      <pane ySplit="1" topLeftCell="A2" activePane="bottomLeft" state="frozen"/>
      <selection pane="bottomLeft" activeCell="C3" sqref="C3"/>
    </sheetView>
  </sheetViews>
  <sheetFormatPr baseColWidth="10" defaultColWidth="9.06640625" defaultRowHeight="14.25" x14ac:dyDescent="0.45"/>
  <cols>
    <col min="1" max="1" width="7" customWidth="1"/>
    <col min="2" max="2" width="26" customWidth="1"/>
    <col min="3" max="3" width="70" customWidth="1"/>
    <col min="4" max="4" width="15" customWidth="1"/>
    <col min="5" max="5" width="12" customWidth="1"/>
    <col min="6" max="6" width="14" customWidth="1"/>
    <col min="7" max="7" width="12" customWidth="1"/>
  </cols>
  <sheetData>
    <row r="1" spans="1:7" ht="27.75" x14ac:dyDescent="0.45">
      <c r="A1" s="23" t="s">
        <v>325</v>
      </c>
      <c r="B1" s="23" t="s">
        <v>0</v>
      </c>
      <c r="C1" s="23" t="s">
        <v>1</v>
      </c>
      <c r="D1" s="23" t="s">
        <v>6</v>
      </c>
      <c r="E1" s="23" t="s">
        <v>326</v>
      </c>
      <c r="F1" s="23" t="s">
        <v>8</v>
      </c>
      <c r="G1" s="23" t="s">
        <v>9</v>
      </c>
    </row>
    <row r="2" spans="1:7" x14ac:dyDescent="0.45">
      <c r="A2">
        <v>1</v>
      </c>
      <c r="B2" t="str">
        <f>'3. Caracterización'!A44</f>
        <v>Confiabilidad</v>
      </c>
      <c r="C2" s="24" t="str">
        <f>'3. Caracterización'!B44</f>
        <v>¿Se necesita que no se pierda ningún dato capturado bajo ninguna circunstancia?</v>
      </c>
      <c r="D2">
        <f>'3. Caracterización'!G44</f>
        <v>5</v>
      </c>
      <c r="E2">
        <f>'3. Caracterización'!H44</f>
        <v>5</v>
      </c>
      <c r="F2">
        <f>'3. Caracterización'!I44</f>
        <v>0</v>
      </c>
      <c r="G2">
        <f t="shared" ref="G2:G33" si="0">SUM(D2:F2)</f>
        <v>10</v>
      </c>
    </row>
    <row r="3" spans="1:7" x14ac:dyDescent="0.45">
      <c r="A3">
        <v>2</v>
      </c>
      <c r="B3" t="str">
        <f>'3. Caracterización'!A11</f>
        <v>Confiabilidad</v>
      </c>
      <c r="C3" s="24" t="str">
        <f>'3. Caracterización'!B11</f>
        <v>¿Se necesita que el sistema rechace un dato cuando está fuera del rango posible (por ejemplo, más tallos que plantas sembradas)?</v>
      </c>
      <c r="D3">
        <f>'3. Caracterización'!G11</f>
        <v>3</v>
      </c>
      <c r="E3">
        <f>'3. Caracterización'!H11</f>
        <v>3</v>
      </c>
      <c r="F3">
        <f>'3. Caracterización'!I11</f>
        <v>0</v>
      </c>
      <c r="G3">
        <f t="shared" si="0"/>
        <v>6</v>
      </c>
    </row>
    <row r="4" spans="1:7" x14ac:dyDescent="0.45">
      <c r="A4">
        <v>3</v>
      </c>
      <c r="B4" t="str">
        <f>'3. Caracterización'!A49</f>
        <v>Confiabilidad</v>
      </c>
      <c r="C4" s="24" t="str">
        <f>'3. Caracterización'!B49</f>
        <v>¿Se necesita que el sistema haga copias de respaldo de manera automática, sin que nadie lo solicite?</v>
      </c>
      <c r="D4">
        <f>'3. Caracterización'!G49</f>
        <v>0</v>
      </c>
      <c r="E4">
        <f>'3. Caracterización'!H49</f>
        <v>0</v>
      </c>
      <c r="F4">
        <f>'3. Caracterización'!I49</f>
        <v>5</v>
      </c>
      <c r="G4">
        <f t="shared" si="0"/>
        <v>5</v>
      </c>
    </row>
    <row r="5" spans="1:7" x14ac:dyDescent="0.45">
      <c r="A5">
        <v>4</v>
      </c>
      <c r="B5" t="str">
        <f>'3. Caracterización'!A59</f>
        <v>Disponibilidad</v>
      </c>
      <c r="C5" s="24" t="str">
        <f>'3. Caracterización'!B59</f>
        <v>¿Se necesita capturar información en el área de cultivo sin ninguna conexión de datos?</v>
      </c>
      <c r="D5">
        <f>'3. Caracterización'!G59</f>
        <v>5</v>
      </c>
      <c r="E5">
        <f>'3. Caracterización'!H59</f>
        <v>0</v>
      </c>
      <c r="F5">
        <f>'3. Caracterización'!I59</f>
        <v>0</v>
      </c>
      <c r="G5">
        <f t="shared" si="0"/>
        <v>5</v>
      </c>
    </row>
    <row r="6" spans="1:7" x14ac:dyDescent="0.45">
      <c r="A6">
        <v>5</v>
      </c>
      <c r="B6" t="str">
        <f>'3. Caracterización'!A95</f>
        <v>Rendimiento</v>
      </c>
      <c r="C6" s="24" t="str">
        <f>'3. Caracterización'!B95</f>
        <v>¿Se necesita que la proyección se recalcule en el momento en que llega información nueva?</v>
      </c>
      <c r="D6">
        <f>'3. Caracterización'!G95</f>
        <v>0</v>
      </c>
      <c r="E6">
        <f>'3. Caracterización'!H95</f>
        <v>5</v>
      </c>
      <c r="F6">
        <f>'3. Caracterización'!I95</f>
        <v>0</v>
      </c>
      <c r="G6">
        <f t="shared" si="0"/>
        <v>5</v>
      </c>
    </row>
    <row r="7" spans="1:7" x14ac:dyDescent="0.45">
      <c r="A7">
        <v>6</v>
      </c>
      <c r="B7" t="str">
        <f>'3. Caracterización'!A162</f>
        <v>Capacidad para ser Administrado</v>
      </c>
      <c r="C7" s="24" t="str">
        <f>'3. Caracterización'!B162</f>
        <v>¿Se necesita que quien administra el sistema en la finca no pueda modificar la información de producción?</v>
      </c>
      <c r="D7">
        <f>'3. Caracterización'!G162</f>
        <v>0</v>
      </c>
      <c r="E7">
        <f>'3. Caracterización'!H162</f>
        <v>0</v>
      </c>
      <c r="F7">
        <f>'3. Caracterización'!I162</f>
        <v>5</v>
      </c>
      <c r="G7">
        <f t="shared" si="0"/>
        <v>5</v>
      </c>
    </row>
    <row r="8" spans="1:7" x14ac:dyDescent="0.45">
      <c r="A8">
        <v>7</v>
      </c>
      <c r="B8" t="str">
        <f>'3. Caracterización'!A14</f>
        <v>Confiabilidad</v>
      </c>
      <c r="C8" s="24" t="str">
        <f>'3. Caracterización'!B14</f>
        <v>¿Se necesita que los rangos y las reglas de validación se puedan cambiar sin depender de una nueva versión de la aplicación?</v>
      </c>
      <c r="D8">
        <f>'3. Caracterización'!G14</f>
        <v>0</v>
      </c>
      <c r="E8">
        <f>'3. Caracterización'!H14</f>
        <v>3</v>
      </c>
      <c r="F8">
        <f>'3. Caracterización'!I14</f>
        <v>1</v>
      </c>
      <c r="G8">
        <f t="shared" si="0"/>
        <v>4</v>
      </c>
    </row>
    <row r="9" spans="1:7" x14ac:dyDescent="0.45">
      <c r="A9">
        <v>8</v>
      </c>
      <c r="B9" t="str">
        <f>'3. Caracterización'!A27</f>
        <v>Confiabilidad</v>
      </c>
      <c r="C9" s="24" t="str">
        <f>'3. Caracterización'!B27</f>
        <v>¿Se necesita poder corregir un dato ya capturado antes de que se sincronice?</v>
      </c>
      <c r="D9">
        <f>'3. Caracterización'!G27</f>
        <v>4</v>
      </c>
      <c r="E9">
        <f>'3. Caracterización'!H27</f>
        <v>0</v>
      </c>
      <c r="F9">
        <f>'3. Caracterización'!I27</f>
        <v>0</v>
      </c>
      <c r="G9">
        <f t="shared" si="0"/>
        <v>4</v>
      </c>
    </row>
    <row r="10" spans="1:7" x14ac:dyDescent="0.45">
      <c r="A10">
        <v>9</v>
      </c>
      <c r="B10" t="str">
        <f>'3. Caracterización'!A35</f>
        <v>Confiabilidad</v>
      </c>
      <c r="C10" s="24" t="str">
        <f>'3. Caracterización'!B35</f>
        <v>¿Se necesita saber, sobre cada proyección, con qué datos y con qué parámetros fue calculada?</v>
      </c>
      <c r="D10">
        <f>'3. Caracterización'!G35</f>
        <v>0</v>
      </c>
      <c r="E10">
        <f>'3. Caracterización'!H35</f>
        <v>4</v>
      </c>
      <c r="F10">
        <f>'3. Caracterización'!I35</f>
        <v>0</v>
      </c>
      <c r="G10">
        <f t="shared" si="0"/>
        <v>4</v>
      </c>
    </row>
    <row r="11" spans="1:7" x14ac:dyDescent="0.45">
      <c r="A11">
        <v>10</v>
      </c>
      <c r="B11" t="str">
        <f>'3. Caracterización'!A37</f>
        <v>Confiabilidad</v>
      </c>
      <c r="C11" s="24" t="str">
        <f>'3. Caracterización'!B37</f>
        <v>¿Se necesita que el sistema muestre cuánto se desvió la proyección anterior frente a lo que realmente se cortó?</v>
      </c>
      <c r="D11">
        <f>'3. Caracterización'!G37</f>
        <v>0</v>
      </c>
      <c r="E11">
        <f>'3. Caracterización'!H37</f>
        <v>4</v>
      </c>
      <c r="F11">
        <f>'3. Caracterización'!I37</f>
        <v>0</v>
      </c>
      <c r="G11">
        <f t="shared" si="0"/>
        <v>4</v>
      </c>
    </row>
    <row r="12" spans="1:7" x14ac:dyDescent="0.45">
      <c r="A12">
        <v>11</v>
      </c>
      <c r="B12" t="str">
        <f>'3. Caracterización'!A45</f>
        <v>Confiabilidad</v>
      </c>
      <c r="C12" s="24" t="str">
        <f>'3. Caracterización'!B45</f>
        <v>¿Se necesita que la información se conserve cuando el dispositivo se apaga por batería agotada a mitad de una captura?</v>
      </c>
      <c r="D12">
        <f>'3. Caracterización'!G45</f>
        <v>4</v>
      </c>
      <c r="E12">
        <f>'3. Caracterización'!H45</f>
        <v>0</v>
      </c>
      <c r="F12">
        <f>'3. Caracterización'!I45</f>
        <v>0</v>
      </c>
      <c r="G12">
        <f t="shared" si="0"/>
        <v>4</v>
      </c>
    </row>
    <row r="13" spans="1:7" x14ac:dyDescent="0.45">
      <c r="A13">
        <v>12</v>
      </c>
      <c r="B13" t="str">
        <f>'3. Caracterización'!A107</f>
        <v>Capacidad para ser Auditado</v>
      </c>
      <c r="C13" s="24" t="str">
        <f>'3. Caracterización'!B107</f>
        <v>¿Se necesita poder ver la historia completa de una cama desde la siembra hasta la erradicación?</v>
      </c>
      <c r="D13">
        <f>'3. Caracterización'!G107</f>
        <v>0</v>
      </c>
      <c r="E13">
        <f>'3. Caracterización'!H107</f>
        <v>4</v>
      </c>
      <c r="F13">
        <f>'3. Caracterización'!I107</f>
        <v>0</v>
      </c>
      <c r="G13">
        <f t="shared" si="0"/>
        <v>4</v>
      </c>
    </row>
    <row r="14" spans="1:7" x14ac:dyDescent="0.45">
      <c r="A14">
        <v>13</v>
      </c>
      <c r="B14" t="str">
        <f>'3. Caracterización'!A147</f>
        <v>Capacidad para ser Administrado</v>
      </c>
      <c r="C14" s="24" t="str">
        <f>'3. Caracterización'!B147</f>
        <v>¿Se necesita poder crear y dar de baja usuarios sin solicitarlo a quien desarrolló el sistema?</v>
      </c>
      <c r="D14">
        <f>'3. Caracterización'!G147</f>
        <v>0</v>
      </c>
      <c r="E14">
        <f>'3. Caracterización'!H147</f>
        <v>0</v>
      </c>
      <c r="F14">
        <f>'3. Caracterización'!I147</f>
        <v>4</v>
      </c>
      <c r="G14">
        <f t="shared" si="0"/>
        <v>4</v>
      </c>
    </row>
    <row r="15" spans="1:7" x14ac:dyDescent="0.45">
      <c r="A15">
        <v>14</v>
      </c>
      <c r="B15" t="str">
        <f>'3. Caracterización'!A161</f>
        <v>Capacidad para ser Administrado</v>
      </c>
      <c r="C15" s="24" t="str">
        <f>'3. Caracterización'!B161</f>
        <v>¿Se necesita que la administración del sistema se pueda hacer desde un computador de la finca, sin herramientas técnicas especiales?</v>
      </c>
      <c r="D15">
        <f>'3. Caracterización'!G161</f>
        <v>0</v>
      </c>
      <c r="E15">
        <f>'3. Caracterización'!H161</f>
        <v>0</v>
      </c>
      <c r="F15">
        <f>'3. Caracterización'!I161</f>
        <v>4</v>
      </c>
      <c r="G15">
        <f t="shared" si="0"/>
        <v>4</v>
      </c>
    </row>
    <row r="16" spans="1:7" x14ac:dyDescent="0.45">
      <c r="A16">
        <v>15</v>
      </c>
      <c r="B16" t="str">
        <f>'3. Caracterización'!A165</f>
        <v>Experiencia de Usuario</v>
      </c>
      <c r="C16" s="24" t="str">
        <f>'3. Caracterización'!B165</f>
        <v>¿Se necesita que la pantalla sea legible bajo el sol directo?</v>
      </c>
      <c r="D16">
        <f>'3. Caracterización'!G165</f>
        <v>4</v>
      </c>
      <c r="E16">
        <f>'3. Caracterización'!H165</f>
        <v>0</v>
      </c>
      <c r="F16">
        <f>'3. Caracterización'!I165</f>
        <v>0</v>
      </c>
      <c r="G16">
        <f t="shared" si="0"/>
        <v>4</v>
      </c>
    </row>
    <row r="17" spans="1:7" x14ac:dyDescent="0.45">
      <c r="A17">
        <v>16</v>
      </c>
      <c r="B17" t="str">
        <f>'3. Caracterización'!A248</f>
        <v>Portabilidad</v>
      </c>
      <c r="C17" s="24" t="str">
        <f>'3. Caracterización'!B248</f>
        <v>¿Se necesita que el sistema pueda instalarse en servidores de la propia empresa y no solo en la nube?</v>
      </c>
      <c r="D17">
        <f>'3. Caracterización'!G248</f>
        <v>0</v>
      </c>
      <c r="E17">
        <f>'3. Caracterización'!H248</f>
        <v>0</v>
      </c>
      <c r="F17">
        <f>'3. Caracterización'!I248</f>
        <v>4</v>
      </c>
      <c r="G17">
        <f t="shared" si="0"/>
        <v>4</v>
      </c>
    </row>
    <row r="18" spans="1:7" ht="28.5" x14ac:dyDescent="0.45">
      <c r="A18">
        <v>17</v>
      </c>
      <c r="B18" t="str">
        <f>'3. Caracterización'!A19</f>
        <v>Confiabilidad</v>
      </c>
      <c r="C18" s="24" t="str">
        <f>'3. Caracterización'!B19</f>
        <v>¿Se necesita que el sistema bloquee la captura cuando detecta que la fecha y la hora del dispositivo fueron alteradas?</v>
      </c>
      <c r="D18">
        <f>'3. Caracterización'!G19</f>
        <v>1</v>
      </c>
      <c r="E18">
        <f>'3. Caracterización'!H19</f>
        <v>0</v>
      </c>
      <c r="F18">
        <f>'3. Caracterización'!I19</f>
        <v>2</v>
      </c>
      <c r="G18">
        <f t="shared" si="0"/>
        <v>3</v>
      </c>
    </row>
    <row r="19" spans="1:7" ht="28.5" x14ac:dyDescent="0.45">
      <c r="A19">
        <v>18</v>
      </c>
      <c r="B19" t="str">
        <f>'3. Caracterización'!A46</f>
        <v>Confiabilidad</v>
      </c>
      <c r="C19" s="24" t="str">
        <f>'3. Caracterización'!B46</f>
        <v>¿Se necesita que la información se conserve cuando la aplicación se cierra de manera inesperada?</v>
      </c>
      <c r="D19">
        <f>'3. Caracterización'!G46</f>
        <v>3</v>
      </c>
      <c r="E19">
        <f>'3. Caracterización'!H46</f>
        <v>0</v>
      </c>
      <c r="F19">
        <f>'3. Caracterización'!I46</f>
        <v>0</v>
      </c>
      <c r="G19">
        <f t="shared" si="0"/>
        <v>3</v>
      </c>
    </row>
    <row r="20" spans="1:7" ht="28.5" x14ac:dyDescent="0.45">
      <c r="A20">
        <v>19</v>
      </c>
      <c r="B20" t="str">
        <f>'3. Caracterización'!A57</f>
        <v>Confiabilidad</v>
      </c>
      <c r="C20" s="24" t="str">
        <f>'3. Caracterización'!B57</f>
        <v>¿Se necesita que exista una prueba periódica de que las copias de respaldo efectivamente sirven?</v>
      </c>
      <c r="D20">
        <f>'3. Caracterización'!G57</f>
        <v>0</v>
      </c>
      <c r="E20">
        <f>'3. Caracterización'!H57</f>
        <v>0</v>
      </c>
      <c r="F20">
        <f>'3. Caracterización'!I57</f>
        <v>3</v>
      </c>
      <c r="G20">
        <f t="shared" si="0"/>
        <v>3</v>
      </c>
    </row>
    <row r="21" spans="1:7" ht="28.5" x14ac:dyDescent="0.45">
      <c r="A21">
        <v>20</v>
      </c>
      <c r="B21" t="str">
        <f>'3. Caracterización'!A78</f>
        <v>Disponibilidad</v>
      </c>
      <c r="C21" s="24" t="str">
        <f>'3. Caracterización'!B78</f>
        <v>¿Se necesita que el sistema avise cuando un dispositivo lleva demasiado tiempo sin sincronizar?</v>
      </c>
      <c r="D21">
        <f>'3. Caracterización'!G78</f>
        <v>3</v>
      </c>
      <c r="E21">
        <f>'3. Caracterización'!H78</f>
        <v>0</v>
      </c>
      <c r="F21">
        <f>'3. Caracterización'!I78</f>
        <v>0</v>
      </c>
      <c r="G21">
        <f t="shared" si="0"/>
        <v>3</v>
      </c>
    </row>
    <row r="22" spans="1:7" ht="28.5" x14ac:dyDescent="0.45">
      <c r="A22">
        <v>21</v>
      </c>
      <c r="B22" t="str">
        <f>'3. Caracterización'!A145</f>
        <v>Capacidad</v>
      </c>
      <c r="C22" s="24" t="str">
        <f>'3. Caracterización'!B145</f>
        <v>¿Se necesita prever un crecimiento del volumen de información año tras año sin cambiar de sistema?</v>
      </c>
      <c r="D22">
        <f>'3. Caracterización'!G145</f>
        <v>0</v>
      </c>
      <c r="E22">
        <f>'3. Caracterización'!H145</f>
        <v>3</v>
      </c>
      <c r="F22">
        <f>'3. Caracterización'!I145</f>
        <v>0</v>
      </c>
      <c r="G22">
        <f t="shared" si="0"/>
        <v>3</v>
      </c>
    </row>
    <row r="23" spans="1:7" x14ac:dyDescent="0.45">
      <c r="A23">
        <v>22</v>
      </c>
      <c r="B23" t="str">
        <f>'3. Caracterización'!A148</f>
        <v>Capacidad para ser Administrado</v>
      </c>
      <c r="C23" s="24" t="str">
        <f>'3. Caracterización'!B148</f>
        <v>¿Se necesita poder cambiar los permisos de un usuario de manera inmediata?</v>
      </c>
      <c r="D23">
        <f>'3. Caracterización'!G148</f>
        <v>0</v>
      </c>
      <c r="E23">
        <f>'3. Caracterización'!H148</f>
        <v>0</v>
      </c>
      <c r="F23">
        <f>'3. Caracterización'!I148</f>
        <v>3</v>
      </c>
      <c r="G23">
        <f t="shared" si="0"/>
        <v>3</v>
      </c>
    </row>
    <row r="24" spans="1:7" x14ac:dyDescent="0.45">
      <c r="A24">
        <v>23</v>
      </c>
      <c r="B24" t="str">
        <f>'3. Caracterización'!A151</f>
        <v>Capacidad para ser Administrado</v>
      </c>
      <c r="C24" s="24" t="str">
        <f>'3. Caracterización'!B151</f>
        <v>¿Se necesita poder crear variedades nuevas sin desarrollo adicional?</v>
      </c>
      <c r="D24">
        <f>'3. Caracterización'!G151</f>
        <v>0</v>
      </c>
      <c r="E24">
        <f>'3. Caracterización'!H151</f>
        <v>3</v>
      </c>
      <c r="F24">
        <f>'3. Caracterización'!I151</f>
        <v>0</v>
      </c>
      <c r="G24">
        <f t="shared" si="0"/>
        <v>3</v>
      </c>
    </row>
    <row r="25" spans="1:7" ht="28.5" x14ac:dyDescent="0.45">
      <c r="A25">
        <v>24</v>
      </c>
      <c r="B25" t="str">
        <f>'3. Caracterización'!A153</f>
        <v>Capacidad para ser Administrado</v>
      </c>
      <c r="C25" s="24" t="str">
        <f>'3. Caracterización'!B153</f>
        <v>¿Se necesita poder cambiar la densidad de siembra o los parámetros de cálculo sin desarrollo adicional?</v>
      </c>
      <c r="D25">
        <f>'3. Caracterización'!G153</f>
        <v>0</v>
      </c>
      <c r="E25">
        <f>'3. Caracterización'!H153</f>
        <v>3</v>
      </c>
      <c r="F25">
        <f>'3. Caracterización'!I153</f>
        <v>0</v>
      </c>
      <c r="G25">
        <f t="shared" si="0"/>
        <v>3</v>
      </c>
    </row>
    <row r="26" spans="1:7" ht="28.5" x14ac:dyDescent="0.45">
      <c r="A26">
        <v>25</v>
      </c>
      <c r="B26" t="str">
        <f>'3. Caracterización'!A158</f>
        <v>Capacidad para ser Administrado</v>
      </c>
      <c r="C26" s="24" t="str">
        <f>'3. Caracterización'!B158</f>
        <v>¿Se necesita poder actualizar la aplicación en todos los dispositivos sin recogerlos uno por uno?</v>
      </c>
      <c r="D26">
        <f>'3. Caracterización'!G158</f>
        <v>0</v>
      </c>
      <c r="E26">
        <f>'3. Caracterización'!H158</f>
        <v>0</v>
      </c>
      <c r="F26">
        <f>'3. Caracterización'!I158</f>
        <v>3</v>
      </c>
      <c r="G26">
        <f t="shared" si="0"/>
        <v>3</v>
      </c>
    </row>
    <row r="27" spans="1:7" ht="28.5" x14ac:dyDescent="0.45">
      <c r="A27">
        <v>26</v>
      </c>
      <c r="B27" t="str">
        <f>'3. Caracterización'!A167</f>
        <v>Experiencia de Usuario</v>
      </c>
      <c r="C27" s="24" t="str">
        <f>'3. Caracterización'!B167</f>
        <v>¿Se necesita reducir al mínimo la cantidad de toques necesarios para registrar una cama?</v>
      </c>
      <c r="D27">
        <f>'3. Caracterización'!G167</f>
        <v>3</v>
      </c>
      <c r="E27">
        <f>'3. Caracterización'!H167</f>
        <v>0</v>
      </c>
      <c r="F27">
        <f>'3. Caracterización'!I167</f>
        <v>0</v>
      </c>
      <c r="G27">
        <f t="shared" si="0"/>
        <v>3</v>
      </c>
    </row>
    <row r="28" spans="1:7" ht="28.5" x14ac:dyDescent="0.45">
      <c r="A28">
        <v>27</v>
      </c>
      <c r="B28" t="str">
        <f>'3. Caracterización'!A174</f>
        <v>Experiencia de Usuario</v>
      </c>
      <c r="C28" s="24" t="str">
        <f>'3. Caracterización'!B174</f>
        <v>¿Se necesita poder identificar la cama escaneando una marca física en lugar de escribir el código?</v>
      </c>
      <c r="D28">
        <f>'3. Caracterización'!G174</f>
        <v>3</v>
      </c>
      <c r="E28">
        <f>'3. Caracterización'!H174</f>
        <v>0</v>
      </c>
      <c r="F28">
        <f>'3. Caracterización'!I174</f>
        <v>0</v>
      </c>
      <c r="G28">
        <f t="shared" si="0"/>
        <v>3</v>
      </c>
    </row>
    <row r="29" spans="1:7" x14ac:dyDescent="0.45">
      <c r="A29">
        <v>28</v>
      </c>
      <c r="B29" t="str">
        <f>'3. Caracterización'!A183</f>
        <v>Seguridad</v>
      </c>
      <c r="C29" s="24" t="str">
        <f>'3. Caracterización'!B183</f>
        <v>¿Se necesita que la sesión se cierre sola después de un tiempo sin uso?</v>
      </c>
      <c r="D29">
        <f>'3. Caracterización'!G183</f>
        <v>0</v>
      </c>
      <c r="E29">
        <f>'3. Caracterización'!H183</f>
        <v>0</v>
      </c>
      <c r="F29">
        <f>'3. Caracterización'!I183</f>
        <v>3</v>
      </c>
      <c r="G29">
        <f t="shared" si="0"/>
        <v>3</v>
      </c>
    </row>
    <row r="30" spans="1:7" ht="28.5" x14ac:dyDescent="0.45">
      <c r="A30">
        <v>29</v>
      </c>
      <c r="B30" t="str">
        <f>'3. Caracterización'!A209</f>
        <v>Interoperatividad</v>
      </c>
      <c r="C30" s="24" t="str">
        <f>'3. Caracterización'!B209</f>
        <v>¿Se necesita que la información se pueda leer desde una herramienta de análisis externa?</v>
      </c>
      <c r="D30">
        <f>'3. Caracterización'!G209</f>
        <v>0</v>
      </c>
      <c r="E30">
        <f>'3. Caracterización'!H209</f>
        <v>3</v>
      </c>
      <c r="F30">
        <f>'3. Caracterización'!I209</f>
        <v>0</v>
      </c>
      <c r="G30">
        <f t="shared" si="0"/>
        <v>3</v>
      </c>
    </row>
    <row r="31" spans="1:7" x14ac:dyDescent="0.45">
      <c r="A31">
        <v>30</v>
      </c>
      <c r="B31" t="str">
        <f>'3. Caracterización'!A229</f>
        <v>Capacidad para ser Soportado</v>
      </c>
      <c r="C31" s="24" t="str">
        <f>'3. Caracterización'!B229</f>
        <v>¿Se necesita poder diagnosticar un problema sin tener que desplazarse hasta la finca?</v>
      </c>
      <c r="D31">
        <f>'3. Caracterización'!G229</f>
        <v>0</v>
      </c>
      <c r="E31">
        <f>'3. Caracterización'!H229</f>
        <v>0</v>
      </c>
      <c r="F31">
        <f>'3. Caracterización'!I229</f>
        <v>3</v>
      </c>
      <c r="G31">
        <f t="shared" si="0"/>
        <v>3</v>
      </c>
    </row>
    <row r="32" spans="1:7" x14ac:dyDescent="0.45">
      <c r="A32">
        <v>31</v>
      </c>
      <c r="B32" t="str">
        <f>'3. Caracterización'!A230</f>
        <v>Capacidad para ser Soportado</v>
      </c>
      <c r="C32" s="24" t="str">
        <f>'3. Caracterización'!B230</f>
        <v>¿Se necesita poder revisar el estado de un dispositivo de forma remota?</v>
      </c>
      <c r="D32">
        <f>'3. Caracterización'!G230</f>
        <v>0</v>
      </c>
      <c r="E32">
        <f>'3. Caracterización'!H230</f>
        <v>0</v>
      </c>
      <c r="F32">
        <f>'3. Caracterización'!I230</f>
        <v>3</v>
      </c>
      <c r="G32">
        <f t="shared" si="0"/>
        <v>3</v>
      </c>
    </row>
    <row r="33" spans="1:7" x14ac:dyDescent="0.45">
      <c r="A33">
        <v>32</v>
      </c>
      <c r="B33" t="str">
        <f>'3. Caracterización'!A237</f>
        <v>Portabilidad</v>
      </c>
      <c r="C33" s="24" t="str">
        <f>'3. Caracterización'!B237</f>
        <v>¿Se necesita que la aplicación de captura funcione en dispositivos Android?</v>
      </c>
      <c r="D33">
        <f>'3. Caracterización'!G237</f>
        <v>3</v>
      </c>
      <c r="E33">
        <f>'3. Caracterización'!H237</f>
        <v>0</v>
      </c>
      <c r="F33">
        <f>'3. Caracterización'!I237</f>
        <v>0</v>
      </c>
      <c r="G33">
        <f t="shared" si="0"/>
        <v>3</v>
      </c>
    </row>
    <row r="34" spans="1:7" ht="28.5" x14ac:dyDescent="0.45">
      <c r="A34">
        <v>33</v>
      </c>
      <c r="B34" t="str">
        <f>'3. Caracterización'!A7</f>
        <v>Confiabilidad</v>
      </c>
      <c r="C34" s="24" t="str">
        <f>'3. Caracterización'!B7</f>
        <v>¿Se necesita verificar que la información sea correcta de manera que se agrupe la información por finca y por jornada completa?</v>
      </c>
      <c r="D34">
        <f>'3. Caracterización'!G7</f>
        <v>0</v>
      </c>
      <c r="E34">
        <f>'3. Caracterización'!H7</f>
        <v>2</v>
      </c>
      <c r="F34">
        <f>'3. Caracterización'!I7</f>
        <v>0</v>
      </c>
      <c r="G34">
        <f t="shared" ref="G34:G65" si="1">SUM(D34:F34)</f>
        <v>2</v>
      </c>
    </row>
    <row r="35" spans="1:7" ht="28.5" x14ac:dyDescent="0.45">
      <c r="A35">
        <v>34</v>
      </c>
      <c r="B35" t="str">
        <f>'3. Caracterización'!A16</f>
        <v>Confiabilidad</v>
      </c>
      <c r="C35" s="24" t="str">
        <f>'3. Caracterización'!B16</f>
        <v>¿Se necesita que el sistema avise cuando se intenta capturar dos veces la misma cama el mismo día?</v>
      </c>
      <c r="D35">
        <f>'3. Caracterización'!G16</f>
        <v>2</v>
      </c>
      <c r="E35">
        <f>'3. Caracterización'!H16</f>
        <v>0</v>
      </c>
      <c r="F35">
        <f>'3. Caracterización'!I16</f>
        <v>0</v>
      </c>
      <c r="G35">
        <f t="shared" si="1"/>
        <v>2</v>
      </c>
    </row>
    <row r="36" spans="1:7" ht="28.5" x14ac:dyDescent="0.45">
      <c r="A36">
        <v>35</v>
      </c>
      <c r="B36" t="str">
        <f>'3. Caracterización'!A58</f>
        <v>Confiabilidad</v>
      </c>
      <c r="C36" s="24" t="str">
        <f>'3. Caracterización'!B58</f>
        <v>¿Se necesita que la aplicación avise cuando el almacenamiento del dispositivo está por llenarse?</v>
      </c>
      <c r="D36">
        <f>'3. Caracterización'!G58</f>
        <v>2</v>
      </c>
      <c r="E36">
        <f>'3. Caracterización'!H58</f>
        <v>0</v>
      </c>
      <c r="F36">
        <f>'3. Caracterización'!I58</f>
        <v>0</v>
      </c>
      <c r="G36">
        <f t="shared" si="1"/>
        <v>2</v>
      </c>
    </row>
    <row r="37" spans="1:7" x14ac:dyDescent="0.45">
      <c r="A37">
        <v>36</v>
      </c>
      <c r="B37" t="str">
        <f>'3. Caracterización'!A84</f>
        <v>Rendimiento</v>
      </c>
      <c r="C37" s="24" t="str">
        <f>'3. Caracterización'!B84</f>
        <v>¿Se necesita que cada dato quede guardado de inmediato, sin espera perceptible?</v>
      </c>
      <c r="D37">
        <f>'3. Caracterización'!G84</f>
        <v>2</v>
      </c>
      <c r="E37">
        <f>'3. Caracterización'!H84</f>
        <v>0</v>
      </c>
      <c r="F37">
        <f>'3. Caracterización'!I84</f>
        <v>0</v>
      </c>
      <c r="G37">
        <f t="shared" si="1"/>
        <v>2</v>
      </c>
    </row>
    <row r="38" spans="1:7" x14ac:dyDescent="0.45">
      <c r="A38">
        <v>37</v>
      </c>
      <c r="B38" t="str">
        <f>'3. Caracterización'!A85</f>
        <v>Rendimiento</v>
      </c>
      <c r="C38" s="24" t="str">
        <f>'3. Caracterización'!B85</f>
        <v>¿Se necesita que el paso de una pantalla a la siguiente sea inmediato aun sin conexión?</v>
      </c>
      <c r="D38">
        <f>'3. Caracterización'!G85</f>
        <v>2</v>
      </c>
      <c r="E38">
        <f>'3. Caracterización'!H85</f>
        <v>0</v>
      </c>
      <c r="F38">
        <f>'3. Caracterización'!I85</f>
        <v>0</v>
      </c>
      <c r="G38">
        <f t="shared" si="1"/>
        <v>2</v>
      </c>
    </row>
    <row r="39" spans="1:7" ht="28.5" x14ac:dyDescent="0.45">
      <c r="A39">
        <v>38</v>
      </c>
      <c r="B39" t="str">
        <f>'3. Caracterización'!A89</f>
        <v>Rendimiento</v>
      </c>
      <c r="C39" s="24" t="str">
        <f>'3. Caracterización'!B89</f>
        <v>¿Se necesita que muchos dispositivos puedan sincronizar al mismo tiempo al terminar la jornada sin que el sistema se degrade?</v>
      </c>
      <c r="D39">
        <f>'3. Caracterización'!G89</f>
        <v>1</v>
      </c>
      <c r="E39">
        <f>'3. Caracterización'!H89</f>
        <v>0</v>
      </c>
      <c r="F39">
        <f>'3. Caracterización'!I89</f>
        <v>1</v>
      </c>
      <c r="G39">
        <f t="shared" si="1"/>
        <v>2</v>
      </c>
    </row>
    <row r="40" spans="1:7" ht="28.5" x14ac:dyDescent="0.45">
      <c r="A40">
        <v>39</v>
      </c>
      <c r="B40" t="str">
        <f>'3. Caracterización'!A110</f>
        <v>Capacidad para ser Auditado</v>
      </c>
      <c r="C40" s="24" t="str">
        <f>'3. Caracterización'!B110</f>
        <v>¿Se necesita poder llegar, desde una cifra de un reporte, hasta los datos individuales que la componen?</v>
      </c>
      <c r="D40">
        <f>'3. Caracterización'!G110</f>
        <v>0</v>
      </c>
      <c r="E40">
        <f>'3. Caracterización'!H110</f>
        <v>2</v>
      </c>
      <c r="F40">
        <f>'3. Caracterización'!I110</f>
        <v>0</v>
      </c>
      <c r="G40">
        <f t="shared" si="1"/>
        <v>2</v>
      </c>
    </row>
    <row r="41" spans="1:7" x14ac:dyDescent="0.45">
      <c r="A41">
        <v>40</v>
      </c>
      <c r="B41" t="str">
        <f>'3. Caracterización'!A112</f>
        <v>Capacidad para ser Auditado</v>
      </c>
      <c r="C41" s="24" t="str">
        <f>'3. Caracterización'!B112</f>
        <v>¿Se necesita que el registro de lo ocurrido no pueda ser alterado ni borrado por nadie?</v>
      </c>
      <c r="D41">
        <f>'3. Caracterización'!G112</f>
        <v>0</v>
      </c>
      <c r="E41">
        <f>'3. Caracterización'!H112</f>
        <v>0</v>
      </c>
      <c r="F41">
        <f>'3. Caracterización'!I112</f>
        <v>2</v>
      </c>
      <c r="G41">
        <f t="shared" si="1"/>
        <v>2</v>
      </c>
    </row>
    <row r="42" spans="1:7" x14ac:dyDescent="0.45">
      <c r="A42">
        <v>41</v>
      </c>
      <c r="B42" t="str">
        <f>'3. Caracterización'!A136</f>
        <v>Capacidad</v>
      </c>
      <c r="C42" s="24" t="str">
        <f>'3. Caracterización'!B136</f>
        <v>¿Se necesita conservar en línea la información de los últimos cinco años?</v>
      </c>
      <c r="D42">
        <f>'3. Caracterización'!G136</f>
        <v>0</v>
      </c>
      <c r="E42">
        <f>'3. Caracterización'!H136</f>
        <v>2</v>
      </c>
      <c r="F42">
        <f>'3. Caracterización'!I136</f>
        <v>0</v>
      </c>
      <c r="G42">
        <f t="shared" si="1"/>
        <v>2</v>
      </c>
    </row>
    <row r="43" spans="1:7" x14ac:dyDescent="0.45">
      <c r="A43">
        <v>42</v>
      </c>
      <c r="B43" t="str">
        <f>'3. Caracterización'!A139</f>
        <v>Capacidad</v>
      </c>
      <c r="C43" s="24" t="str">
        <f>'3. Caracterización'!B139</f>
        <v>¿Se aceptaría que la información de más de cierta antigüedad tarde más en consultarse?</v>
      </c>
      <c r="D43">
        <f>'3. Caracterización'!G139</f>
        <v>0</v>
      </c>
      <c r="E43">
        <f>'3. Caracterización'!H139</f>
        <v>2</v>
      </c>
      <c r="F43">
        <f>'3. Caracterización'!I139</f>
        <v>0</v>
      </c>
      <c r="G43">
        <f t="shared" si="1"/>
        <v>2</v>
      </c>
    </row>
    <row r="44" spans="1:7" ht="28.5" x14ac:dyDescent="0.45">
      <c r="A44">
        <v>43</v>
      </c>
      <c r="B44" t="str">
        <f>'3. Caracterización'!A146</f>
        <v>Capacidad</v>
      </c>
      <c r="C44" s="24" t="str">
        <f>'3. Caracterización'!B146</f>
        <v>¿Se necesita que el costo de almacenamiento por finca se mantenga acotado a medida que crece la historia?</v>
      </c>
      <c r="D44">
        <f>'3. Caracterización'!G146</f>
        <v>0</v>
      </c>
      <c r="E44">
        <f>'3. Caracterización'!H146</f>
        <v>1</v>
      </c>
      <c r="F44">
        <f>'3. Caracterización'!I146</f>
        <v>1</v>
      </c>
      <c r="G44">
        <f t="shared" si="1"/>
        <v>2</v>
      </c>
    </row>
    <row r="45" spans="1:7" ht="28.5" x14ac:dyDescent="0.45">
      <c r="A45">
        <v>44</v>
      </c>
      <c r="B45" t="str">
        <f>'3. Caracterización'!A152</f>
        <v>Capacidad para ser Administrado</v>
      </c>
      <c r="C45" s="24" t="str">
        <f>'3. Caracterización'!B152</f>
        <v>¿Se necesita poder cambiar los grados de calidad y sus definiciones sin desarrollo adicional?</v>
      </c>
      <c r="D45">
        <f>'3. Caracterización'!G152</f>
        <v>0</v>
      </c>
      <c r="E45">
        <f>'3. Caracterización'!H152</f>
        <v>2</v>
      </c>
      <c r="F45">
        <f>'3. Caracterización'!I152</f>
        <v>0</v>
      </c>
      <c r="G45">
        <f t="shared" si="1"/>
        <v>2</v>
      </c>
    </row>
    <row r="46" spans="1:7" x14ac:dyDescent="0.45">
      <c r="A46">
        <v>45</v>
      </c>
      <c r="B46" t="str">
        <f>'3. Caracterización'!A154</f>
        <v>Capacidad para ser Administrado</v>
      </c>
      <c r="C46" s="24" t="str">
        <f>'3. Caracterización'!B154</f>
        <v>¿Se necesita que un cambio de parámetros no altere las proyecciones ya emitidas?</v>
      </c>
      <c r="D46">
        <f>'3. Caracterización'!G154</f>
        <v>0</v>
      </c>
      <c r="E46">
        <f>'3. Caracterización'!H154</f>
        <v>2</v>
      </c>
      <c r="F46">
        <f>'3. Caracterización'!I154</f>
        <v>0</v>
      </c>
      <c r="G46">
        <f t="shared" si="1"/>
        <v>2</v>
      </c>
    </row>
    <row r="47" spans="1:7" x14ac:dyDescent="0.45">
      <c r="A47">
        <v>46</v>
      </c>
      <c r="B47" t="str">
        <f>'3. Caracterización'!A157</f>
        <v>Capacidad para ser Administrado</v>
      </c>
      <c r="C47" s="24" t="str">
        <f>'3. Caracterización'!B157</f>
        <v>¿Se necesita poder forzar la sincronización de un dispositivo de manera remota?</v>
      </c>
      <c r="D47">
        <f>'3. Caracterización'!G157</f>
        <v>0</v>
      </c>
      <c r="E47">
        <f>'3. Caracterización'!H157</f>
        <v>0</v>
      </c>
      <c r="F47">
        <f>'3. Caracterización'!I157</f>
        <v>2</v>
      </c>
      <c r="G47">
        <f t="shared" si="1"/>
        <v>2</v>
      </c>
    </row>
    <row r="48" spans="1:7" ht="28.5" x14ac:dyDescent="0.45">
      <c r="A48">
        <v>47</v>
      </c>
      <c r="B48" t="str">
        <f>'3. Caracterización'!A170</f>
        <v>Experiencia de Usuario</v>
      </c>
      <c r="C48" s="24" t="str">
        <f>'3. Caracterización'!B170</f>
        <v>¿Se necesita que la aplicación indique con claridad qué información ya se sincronizó y cuál no?</v>
      </c>
      <c r="D48">
        <f>'3. Caracterización'!G170</f>
        <v>2</v>
      </c>
      <c r="E48">
        <f>'3. Caracterización'!H170</f>
        <v>0</v>
      </c>
      <c r="F48">
        <f>'3. Caracterización'!I170</f>
        <v>0</v>
      </c>
      <c r="G48">
        <f t="shared" si="1"/>
        <v>2</v>
      </c>
    </row>
    <row r="49" spans="1:7" ht="28.5" x14ac:dyDescent="0.45">
      <c r="A49">
        <v>48</v>
      </c>
      <c r="B49" t="str">
        <f>'3. Caracterización'!A171</f>
        <v>Experiencia de Usuario</v>
      </c>
      <c r="C49" s="24" t="str">
        <f>'3. Caracterización'!B171</f>
        <v>¿Se necesita que los nombres que aparecen en pantalla sean exactamente los que se usan hablando en la finca?</v>
      </c>
      <c r="D49">
        <f>'3. Caracterización'!G171</f>
        <v>2</v>
      </c>
      <c r="E49">
        <f>'3. Caracterización'!H171</f>
        <v>0</v>
      </c>
      <c r="F49">
        <f>'3. Caracterización'!I171</f>
        <v>0</v>
      </c>
      <c r="G49">
        <f t="shared" si="1"/>
        <v>2</v>
      </c>
    </row>
    <row r="50" spans="1:7" ht="28.5" x14ac:dyDescent="0.45">
      <c r="A50">
        <v>49</v>
      </c>
      <c r="B50" t="str">
        <f>'3. Caracterización'!A181</f>
        <v>Seguridad</v>
      </c>
      <c r="C50" s="24" t="str">
        <f>'3. Caracterización'!B181</f>
        <v>¿Se necesita que cada persona entre al sistema con una identificación propia y no compartida?</v>
      </c>
      <c r="D50">
        <f>'3. Caracterización'!G181</f>
        <v>0</v>
      </c>
      <c r="E50">
        <f>'3. Caracterización'!H181</f>
        <v>0</v>
      </c>
      <c r="F50">
        <f>'3. Caracterización'!I181</f>
        <v>2</v>
      </c>
      <c r="G50">
        <f t="shared" si="1"/>
        <v>2</v>
      </c>
    </row>
    <row r="51" spans="1:7" ht="28.5" x14ac:dyDescent="0.45">
      <c r="A51">
        <v>50</v>
      </c>
      <c r="B51" t="str">
        <f>'3. Caracterización'!A188</f>
        <v>Seguridad</v>
      </c>
      <c r="C51" s="24" t="str">
        <f>'3. Caracterización'!B188</f>
        <v>¿Se necesita que quien opera la plataforma no pueda leer la información de producción de la empresa?</v>
      </c>
      <c r="D51">
        <f>'3. Caracterización'!G188</f>
        <v>0</v>
      </c>
      <c r="E51">
        <f>'3. Caracterización'!H188</f>
        <v>0</v>
      </c>
      <c r="F51">
        <f>'3. Caracterización'!I188</f>
        <v>2</v>
      </c>
      <c r="G51">
        <f t="shared" si="1"/>
        <v>2</v>
      </c>
    </row>
    <row r="52" spans="1:7" x14ac:dyDescent="0.45">
      <c r="A52">
        <v>51</v>
      </c>
      <c r="B52" t="str">
        <f>'3. Caracterización'!A200</f>
        <v>Interoperatividad</v>
      </c>
      <c r="C52" s="24" t="str">
        <f>'3. Caracterización'!B200</f>
        <v>¿Se necesita poder exportar la información a Excel?</v>
      </c>
      <c r="D52">
        <f>'3. Caracterización'!G200</f>
        <v>0</v>
      </c>
      <c r="E52">
        <f>'3. Caracterización'!H200</f>
        <v>2</v>
      </c>
      <c r="F52">
        <f>'3. Caracterización'!I200</f>
        <v>0</v>
      </c>
      <c r="G52">
        <f t="shared" si="1"/>
        <v>2</v>
      </c>
    </row>
    <row r="53" spans="1:7" x14ac:dyDescent="0.45">
      <c r="A53">
        <v>52</v>
      </c>
      <c r="B53" t="str">
        <f>'3. Caracterización'!A215</f>
        <v>Escalabilidad</v>
      </c>
      <c r="C53" s="24" t="str">
        <f>'3. Caracterización'!B215</f>
        <v>¿Se necesita poder agregar una finca nueva sin volver a instalar ni reconfigurar todo?</v>
      </c>
      <c r="D53">
        <f>'3. Caracterización'!G215</f>
        <v>0</v>
      </c>
      <c r="E53">
        <f>'3. Caracterización'!H215</f>
        <v>0</v>
      </c>
      <c r="F53">
        <f>'3. Caracterización'!I215</f>
        <v>2</v>
      </c>
      <c r="G53">
        <f t="shared" si="1"/>
        <v>2</v>
      </c>
    </row>
    <row r="54" spans="1:7" ht="28.5" x14ac:dyDescent="0.45">
      <c r="A54">
        <v>53</v>
      </c>
      <c r="B54" t="str">
        <f>'3. Caracterización'!A224</f>
        <v>Capacidad para ser Soportado</v>
      </c>
      <c r="C54" s="24" t="str">
        <f>'3. Caracterización'!B224</f>
        <v>¿Se necesita que exista alguien dentro de la finca capaz de resolver los problemas del día a día?</v>
      </c>
      <c r="D54">
        <f>'3. Caracterización'!G224</f>
        <v>0</v>
      </c>
      <c r="E54">
        <f>'3. Caracterización'!H224</f>
        <v>0</v>
      </c>
      <c r="F54">
        <f>'3. Caracterización'!I224</f>
        <v>2</v>
      </c>
      <c r="G54">
        <f t="shared" si="1"/>
        <v>2</v>
      </c>
    </row>
    <row r="55" spans="1:7" ht="28.5" x14ac:dyDescent="0.45">
      <c r="A55">
        <v>54</v>
      </c>
      <c r="B55" t="str">
        <f>'3. Caracterización'!A242</f>
        <v>Portabilidad</v>
      </c>
      <c r="C55" s="24" t="str">
        <f>'3. Caracterización'!B242</f>
        <v>¿Se necesita poder cambiar de dispositivo conservando la información que aún no se ha sincronizado?</v>
      </c>
      <c r="D55">
        <f>'3. Caracterización'!G242</f>
        <v>2</v>
      </c>
      <c r="E55">
        <f>'3. Caracterización'!H242</f>
        <v>0</v>
      </c>
      <c r="F55">
        <f>'3. Caracterización'!I242</f>
        <v>0</v>
      </c>
      <c r="G55">
        <f t="shared" si="1"/>
        <v>2</v>
      </c>
    </row>
    <row r="56" spans="1:7" ht="28.5" x14ac:dyDescent="0.45">
      <c r="A56">
        <v>55</v>
      </c>
      <c r="B56" t="str">
        <f>'3. Caracterización'!A10</f>
        <v>Confiabilidad</v>
      </c>
      <c r="C56" s="24" t="str">
        <f>'3. Caracterización'!B10</f>
        <v>¿Se necesita que el sistema permita guardar una captura incompleta y marcarla como pendiente?</v>
      </c>
      <c r="D56">
        <f>'3. Caracterización'!G10</f>
        <v>0</v>
      </c>
      <c r="E56">
        <f>'3. Caracterización'!H10</f>
        <v>1</v>
      </c>
      <c r="F56">
        <f>'3. Caracterización'!I10</f>
        <v>0</v>
      </c>
      <c r="G56">
        <f t="shared" si="1"/>
        <v>1</v>
      </c>
    </row>
    <row r="57" spans="1:7" x14ac:dyDescent="0.45">
      <c r="A57">
        <v>56</v>
      </c>
      <c r="B57" t="str">
        <f>'3. Caracterización'!A13</f>
        <v>Confiabilidad</v>
      </c>
      <c r="C57" s="24" t="str">
        <f>'3. Caracterización'!B13</f>
        <v>¿Se necesita que el sistema muestre siempre el motivo por el cual rechazó un dato?</v>
      </c>
      <c r="D57">
        <f>'3. Caracterización'!G13</f>
        <v>0</v>
      </c>
      <c r="E57">
        <f>'3. Caracterización'!H13</f>
        <v>1</v>
      </c>
      <c r="F57">
        <f>'3. Caracterización'!I13</f>
        <v>0</v>
      </c>
      <c r="G57">
        <f t="shared" si="1"/>
        <v>1</v>
      </c>
    </row>
    <row r="58" spans="1:7" ht="28.5" x14ac:dyDescent="0.45">
      <c r="A58">
        <v>57</v>
      </c>
      <c r="B58" t="str">
        <f>'3. Caracterización'!A15</f>
        <v>Confiabilidad</v>
      </c>
      <c r="C58" s="24" t="str">
        <f>'3. Caracterización'!B15</f>
        <v>¿Se necesita que las reglas de validación funcionen igual estando sin conexión que estando conectado?</v>
      </c>
      <c r="D58">
        <f>'3. Caracterización'!G15</f>
        <v>1</v>
      </c>
      <c r="E58">
        <f>'3. Caracterización'!H15</f>
        <v>0</v>
      </c>
      <c r="F58">
        <f>'3. Caracterización'!I15</f>
        <v>0</v>
      </c>
      <c r="G58">
        <f t="shared" si="1"/>
        <v>1</v>
      </c>
    </row>
    <row r="59" spans="1:7" x14ac:dyDescent="0.45">
      <c r="A59">
        <v>58</v>
      </c>
      <c r="B59" t="str">
        <f>'3. Caracterización'!A28</f>
        <v>Confiabilidad</v>
      </c>
      <c r="C59" s="24" t="str">
        <f>'3. Caracterización'!B28</f>
        <v>¿Se necesita poder corregir un dato después de que se sincronizó?</v>
      </c>
      <c r="D59">
        <f>'3. Caracterización'!G28</f>
        <v>0</v>
      </c>
      <c r="E59">
        <f>'3. Caracterización'!H28</f>
        <v>0</v>
      </c>
      <c r="F59">
        <f>'3. Caracterización'!I28</f>
        <v>1</v>
      </c>
      <c r="G59">
        <f t="shared" si="1"/>
        <v>1</v>
      </c>
    </row>
    <row r="60" spans="1:7" x14ac:dyDescent="0.45">
      <c r="A60">
        <v>59</v>
      </c>
      <c r="B60" t="str">
        <f>'3. Caracterización'!A66</f>
        <v>Disponibilidad</v>
      </c>
      <c r="C60" s="24" t="str">
        <f>'3. Caracterización'!B66</f>
        <v>¿Se necesita que la captura siga funcionando aunque el servicio en la nube esté caído?</v>
      </c>
      <c r="D60">
        <f>'3. Caracterización'!G66</f>
        <v>1</v>
      </c>
      <c r="E60">
        <f>'3. Caracterización'!H66</f>
        <v>0</v>
      </c>
      <c r="F60">
        <f>'3. Caracterización'!I66</f>
        <v>0</v>
      </c>
      <c r="G60">
        <f t="shared" si="1"/>
        <v>1</v>
      </c>
    </row>
    <row r="61" spans="1:7" ht="28.5" x14ac:dyDescent="0.45">
      <c r="A61">
        <v>60</v>
      </c>
      <c r="B61" t="str">
        <f>'3. Caracterización'!A91</f>
        <v>Rendimiento</v>
      </c>
      <c r="C61" s="24" t="str">
        <f>'3. Caracterización'!B91</f>
        <v>¿Se necesita que la información sincronizada se vea reflejada en la consulta web dentro de la misma hora?</v>
      </c>
      <c r="D61">
        <f>'3. Caracterización'!G91</f>
        <v>0</v>
      </c>
      <c r="E61">
        <f>'3. Caracterización'!H91</f>
        <v>1</v>
      </c>
      <c r="F61">
        <f>'3. Caracterización'!I91</f>
        <v>0</v>
      </c>
      <c r="G61">
        <f t="shared" si="1"/>
        <v>1</v>
      </c>
    </row>
    <row r="62" spans="1:7" ht="28.5" x14ac:dyDescent="0.45">
      <c r="A62">
        <v>61</v>
      </c>
      <c r="B62" t="str">
        <f>'3. Caracterización'!A99</f>
        <v>Rendimiento</v>
      </c>
      <c r="C62" s="24" t="str">
        <f>'3. Caracterización'!B99</f>
        <v>¿Se necesita que el rendimiento se mantenga igual en temporada alta que en el resto del año?</v>
      </c>
      <c r="D62">
        <f>'3. Caracterización'!G99</f>
        <v>0</v>
      </c>
      <c r="E62">
        <f>'3. Caracterización'!H99</f>
        <v>1</v>
      </c>
      <c r="F62">
        <f>'3. Caracterización'!I99</f>
        <v>0</v>
      </c>
      <c r="G62">
        <f t="shared" si="1"/>
        <v>1</v>
      </c>
    </row>
    <row r="63" spans="1:7" x14ac:dyDescent="0.45">
      <c r="A63">
        <v>62</v>
      </c>
      <c r="B63" t="str">
        <f>'3. Caracterización'!A108</f>
        <v>Capacidad para ser Auditado</v>
      </c>
      <c r="C63" s="24" t="str">
        <f>'3. Caracterización'!B108</f>
        <v>¿Se necesita poder ver la historia completa de un lote a través de varias camas?</v>
      </c>
      <c r="D63">
        <f>'3. Caracterización'!G108</f>
        <v>0</v>
      </c>
      <c r="E63">
        <f>'3. Caracterización'!H108</f>
        <v>1</v>
      </c>
      <c r="F63">
        <f>'3. Caracterización'!I108</f>
        <v>0</v>
      </c>
      <c r="G63">
        <f t="shared" si="1"/>
        <v>1</v>
      </c>
    </row>
    <row r="64" spans="1:7" ht="28.5" x14ac:dyDescent="0.45">
      <c r="A64">
        <v>63</v>
      </c>
      <c r="B64" t="str">
        <f>'3. Caracterización'!A116</f>
        <v>Capacidad para ser Auditado</v>
      </c>
      <c r="C64" s="24" t="str">
        <f>'3. Caracterización'!B116</f>
        <v>¿Se necesita registrar el motivo cada vez que disminuye la cantidad de plantas o de tallos esperados?</v>
      </c>
      <c r="D64">
        <f>'3. Caracterización'!G116</f>
        <v>0</v>
      </c>
      <c r="E64">
        <f>'3. Caracterización'!H116</f>
        <v>1</v>
      </c>
      <c r="F64">
        <f>'3. Caracterización'!I116</f>
        <v>0</v>
      </c>
      <c r="G64">
        <f t="shared" si="1"/>
        <v>1</v>
      </c>
    </row>
    <row r="65" spans="1:7" x14ac:dyDescent="0.45">
      <c r="A65">
        <v>64</v>
      </c>
      <c r="B65" t="str">
        <f>'3. Caracterización'!A133</f>
        <v>Capacidad</v>
      </c>
      <c r="C65" s="24" t="str">
        <f>'3. Caracterización'!B133</f>
        <v>¿Se necesita que el sistema soporte varias fincas de la misma empresa?</v>
      </c>
      <c r="D65">
        <f>'3. Caracterización'!G133</f>
        <v>0</v>
      </c>
      <c r="E65">
        <f>'3. Caracterización'!H133</f>
        <v>1</v>
      </c>
      <c r="F65">
        <f>'3. Caracterización'!I133</f>
        <v>0</v>
      </c>
      <c r="G65">
        <f t="shared" si="1"/>
        <v>1</v>
      </c>
    </row>
    <row r="66" spans="1:7" ht="28.5" x14ac:dyDescent="0.45">
      <c r="A66">
        <v>65</v>
      </c>
      <c r="B66" t="str">
        <f>'3. Caracterización'!A144</f>
        <v>Capacidad</v>
      </c>
      <c r="C66" s="24" t="str">
        <f>'3. Caracterización'!B144</f>
        <v>¿Se necesita que el dispositivo tenga descargado todo el catálogo de la finca antes de salir a capturar?</v>
      </c>
      <c r="D66">
        <f>'3. Caracterización'!G144</f>
        <v>0</v>
      </c>
      <c r="E66">
        <f>'3. Caracterización'!H144</f>
        <v>0</v>
      </c>
      <c r="F66">
        <f>'3. Caracterización'!I144</f>
        <v>1</v>
      </c>
      <c r="G66">
        <f t="shared" ref="G66:G97" si="2">SUM(D66:F66)</f>
        <v>1</v>
      </c>
    </row>
    <row r="68" spans="1:7" ht="70.05" customHeight="1" x14ac:dyDescent="0.45">
      <c r="A68" s="32" t="s">
        <v>327</v>
      </c>
      <c r="B68" s="33"/>
      <c r="C68" s="33"/>
      <c r="D68" s="33"/>
      <c r="E68" s="33"/>
      <c r="F68" s="33"/>
      <c r="G68" s="33"/>
    </row>
  </sheetData>
  <mergeCells count="1">
    <mergeCell ref="A68:G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Trade-Off-QA</vt:lpstr>
      <vt:lpstr>2. Priorización-QA</vt:lpstr>
      <vt:lpstr>3. Caracterización</vt:lpstr>
      <vt:lpstr>4, Lluvia-de-Escenarios</vt:lpstr>
      <vt:lpstr>Top 65 - Priorizadas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Avendano Duque</dc:creator>
  <cp:lastModifiedBy>jeronimo montoya londoño</cp:lastModifiedBy>
  <dcterms:created xsi:type="dcterms:W3CDTF">2026-08-04T17:31:19Z</dcterms:created>
  <dcterms:modified xsi:type="dcterms:W3CDTF">2026-08-26T04:53:07Z</dcterms:modified>
</cp:coreProperties>
</file>