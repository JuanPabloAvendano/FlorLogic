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leer" sheetId="1" state="visible" r:id="rId3"/>
    <sheet name="Catalogo de tecnologias" sheetId="2" state="visible" r:id="rId4"/>
    <sheet name="Resumen por bloque" sheetId="3" state="visible" r:id="rId5"/>
  </sheets>
  <definedNames>
    <definedName function="false" hidden="false" localSheetId="1" name="_xlnm.Print_Titles" vbProcedure="false">'Catalogo de tecnologias'!$1:$1</definedName>
    <definedName function="false" hidden="true" localSheetId="1" name="_xlnm._FilterDatabase" vbProcedure="false">'Catalogo de tecnologias'!$A$1:$I$141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<sst xmlns="http://schemas.openxmlformats.org/spreadsheetml/2006/main" count="1402" uniqueCount="723">
  <si>
    <t xml:space="preserve">Version</t>
  </si>
  <si>
    <t xml:space="preserve">1.0 - PROPUESTA DEL EQUIPO, sin validar con el cliente</t>
  </si>
  <si>
    <t xml:space="preserve">Que es</t>
  </si>
  <si>
    <t xml:space="preserve">Las opciones tecnologicas concretas para cada bloque de los cuatro nodos, con lo que cada una ES (servicio, contenedor, ejecutable, libreria, API...), su licencia, donde corre y su madurez.</t>
  </si>
  <si>
    <t xml:space="preserve">Que NO es</t>
  </si>
  <si>
    <t xml:space="preserve">No es una eleccion. Las marcadas con estrella son las que mejor resisten las restricciones del proyecto, no una decision tomada.</t>
  </si>
  <si>
    <t xml:space="preserve">De donde sale</t>
  </si>
  <si>
    <t xml:space="preserve">FlorLogic_Bloques_Arquitectonicos.xlsx y los cuatro modelos de nodo (MODELO_COMPONENTES / N2 / N3+resumen / N4) + DRIVERS_ARQUITECTONICOS.md</t>
  </si>
  <si>
    <t xml:space="preserve">COMO SE LEE LA COLUMNA ESTADO</t>
  </si>
  <si>
    <t xml:space="preserve">* Candidata fuerte</t>
  </si>
  <si>
    <t xml:space="preserve">Resiste bien las restricciones ya cerradas del proyecto. Verde.</t>
  </si>
  <si>
    <t xml:space="preserve">Candidata</t>
  </si>
  <si>
    <t xml:space="preserve">Viable, con una contrapartida que la nota explica. Amarillo.</t>
  </si>
  <si>
    <t xml:space="preserve">Descartada</t>
  </si>
  <si>
    <t xml:space="preserve">Queda fuera por una restriccion concreta, no por gusto. La nota dice cual. Gris.</t>
  </si>
  <si>
    <t xml:space="preserve">LOS CUATRO FILTROS QUE MAS DESCARTAN</t>
  </si>
  <si>
    <t xml:space="preserve">CN-17 / CN-13 sin red en campo</t>
  </si>
  <si>
    <t xml:space="preserve">Descarta todo servicio que exija estar en linea para autenticar, validar o guardar.</t>
  </si>
  <si>
    <t xml:space="preserve">CN-37 local-first</t>
  </si>
  <si>
    <t xml:space="preserve">Descarta serverless, bases gestionadas y todo lo que solo exista como servicio de nube.</t>
  </si>
  <si>
    <t xml:space="preserve">CN-35 costo acotado</t>
  </si>
  <si>
    <t xml:space="preserve">Descarta licencias y servicios cuyo precio escale por empresa, usuario o dispositivo.</t>
  </si>
  <si>
    <t xml:space="preserve">CN-28 llave del cliente</t>
  </si>
  <si>
    <t xml:space="preserve">Descarta el KMS del proveedor de nube y cualquier servicio que necesite leer el contenido.</t>
  </si>
  <si>
    <t xml:space="preserve">OJO CON LAS LICENCIAS</t>
  </si>
  <si>
    <t xml:space="preserve">Varias candidatas fuertes son AGPL o SSPL (Grafana, MinIO, Loki, Metabase) o BUSL (Vault). Eso no las descarta, pero condiciona redistribuirlas dentro del paquete que se instala en casa del cliente. Revisar antes de fijar el stack.</t>
  </si>
  <si>
    <t xml:space="preserve">LO QUE ESTE ARCHIVO NO PUEDE DECIDIR</t>
  </si>
  <si>
    <t xml:space="preserve">Tres decisiones siguen abiertas y ninguna se cierra escogiendo tecnologia: T1 (PWA o nativa, atada a A5 y CN-21), T2 (que es fisicamente el nodo de finca, atada a CN-20) y la decision 5 (donde corre el modelo de IA).</t>
  </si>
  <si>
    <t xml:space="preserve">Nodo</t>
  </si>
  <si>
    <t xml:space="preserve">Bloque Arquitectónico</t>
  </si>
  <si>
    <t xml:space="preserve">Tecnología</t>
  </si>
  <si>
    <t xml:space="preserve">Qué es</t>
  </si>
  <si>
    <t xml:space="preserve">Licencia y modelo de costo</t>
  </si>
  <si>
    <t xml:space="preserve">Dónde corre y forma de despliegue</t>
  </si>
  <si>
    <t xml:space="preserve">Madurez y riesgo de mantenimiento</t>
  </si>
  <si>
    <t xml:space="preserve">Estado</t>
  </si>
  <si>
    <t xml:space="preserve">Por qué — nota</t>
  </si>
  <si>
    <t xml:space="preserve">N1</t>
  </si>
  <si>
    <t xml:space="preserve">Almacenamiento Dedicado a Capturas · cola de salida</t>
  </si>
  <si>
    <t xml:space="preserve">SQLite (con SQLCipher)</t>
  </si>
  <si>
    <t xml:space="preserve">Motor de base de datos embebido</t>
  </si>
  <si>
    <t xml:space="preserve">Dominio público / BSD</t>
  </si>
  <si>
    <t xml:space="preserve">Archivo dentro del área privada de la app</t>
  </si>
  <si>
    <t xml:space="preserve">Máxima. Transaccional, sobrevive a cierres inesperados</t>
  </si>
  <si>
    <t xml:space="preserve">★ Candidata fuerte</t>
  </si>
  <si>
    <t xml:space="preserve">ESC-18 pide sobrevivir al cierre inesperado con un campo por rehacer como máximo: eso es una transacción, y SQLite la da</t>
  </si>
  <si>
    <t xml:space="preserve">IndexedDB (lo actual)</t>
  </si>
  <si>
    <t xml:space="preserve">API de almacenamiento del navegador</t>
  </si>
  <si>
    <t xml:space="preserve">Sin costo</t>
  </si>
  <si>
    <t xml:space="preserve">Navegador del dispositivo</t>
  </si>
  <si>
    <t xml:space="preserve">Funciona, pero con el riesgo de desalojo ya descrito</t>
  </si>
  <si>
    <t xml:space="preserve">Sostenible mientras el dispositivo sea Android y la app esté instalada como PWA. Se cae si entra iOS</t>
  </si>
  <si>
    <t xml:space="preserve">Realm · ObjectBox</t>
  </si>
  <si>
    <t xml:space="preserve">Base de datos embebida orientada a objetos, con sincronización propia</t>
  </si>
  <si>
    <t xml:space="preserve">Apache 2.0 el núcleo. El servicio de sincronización es comercial</t>
  </si>
  <si>
    <t xml:space="preserve">Librería en la app</t>
  </si>
  <si>
    <t xml:space="preserve">Alta</t>
  </si>
  <si>
    <t xml:space="preserve">Traen su propio motor de sincronización, y RF-022 fija una regla concreta —gana el más reciente, sin mediación— que no conviene delegar en la política de un tercero</t>
  </si>
  <si>
    <t xml:space="preserve">App Captura · framework de aplicación móvil</t>
  </si>
  <si>
    <t xml:space="preserve">PWA propia sin dependencias (lo ya construido)</t>
  </si>
  <si>
    <t xml:space="preserve">Aplicación web instalable. Código propio, sin framework ni árbol npm</t>
  </si>
  <si>
    <t xml:space="preserve">Sin costo. Cero dependencias de terceros</t>
  </si>
  <si>
    <t xml:space="preserve">Navegador del Android. Se sirve como archivos estáticos desde el nodo de finca</t>
  </si>
  <si>
    <t xml:space="preserve">Ya construida y verificada con seis suites de prueba. El riesgo es del equipo, no de un tercero</t>
  </si>
  <si>
    <t xml:space="preserve">Es lo único que ya existe y funciona. Límite conocido: con WebCrypto la llave queda en IndexedDB y el cifrado en reposo no se puede demostrar (tensiona A5)</t>
  </si>
  <si>
    <t xml:space="preserve">Flutter</t>
  </si>
  <si>
    <t xml:space="preserve">SDK multiplataforma en Dart. Compila a binario nativo</t>
  </si>
  <si>
    <t xml:space="preserve">BSD-3. Sin costo ni licencias por dispositivo</t>
  </si>
  <si>
    <t xml:space="preserve">APK instalado en el dispositivo</t>
  </si>
  <si>
    <t xml:space="preserve">Muy alta, respaldada por Google. Curva de aprendizaje real: Juan lo exploró sin dominarlo</t>
  </si>
  <si>
    <t xml:space="preserve">Resuelve el cifrado en reposo demostrable y el desalojo de IndexedDB en iOS. Es la salida natural si A5 se sostiene</t>
  </si>
  <si>
    <t xml:space="preserve">Android nativo · Kotlin + Jetpack Compose</t>
  </si>
  <si>
    <t xml:space="preserve">SDK y lenguaje nativo de la plataforma</t>
  </si>
  <si>
    <t xml:space="preserve">Apache 2.0. Sin costo</t>
  </si>
  <si>
    <t xml:space="preserve">Altísima. Acceso completo a Keystore, SQLCipher y APIs de reloj</t>
  </si>
  <si>
    <t xml:space="preserve">El máximo control sobre cifrado, almacenamiento y detección de reloj alterado. Solo Android — y ESC-32 pide Android</t>
  </si>
  <si>
    <t xml:space="preserve">Ionic + Capacitor</t>
  </si>
  <si>
    <t xml:space="preserve">Envoltorio nativo sobre una aplicación web</t>
  </si>
  <si>
    <t xml:space="preserve">MIT. Sin costo</t>
  </si>
  <si>
    <t xml:space="preserve">APK que embebe la vista web y expone APIs nativas</t>
  </si>
  <si>
    <t xml:space="preserve">Alta y estable. Comunidad amplia</t>
  </si>
  <si>
    <t xml:space="preserve">Es el puente más barato entre la PWA ya escrita y lo que A5 exige: conserva el código y gana acceso nativo a cifrado y almacenamiento</t>
  </si>
  <si>
    <t xml:space="preserve">.NET MAUI</t>
  </si>
  <si>
    <t xml:space="preserve">SDK multiplataforma de Microsoft</t>
  </si>
  <si>
    <t xml:space="preserve">APK con runtime .NET</t>
  </si>
  <si>
    <t xml:space="preserve">Media. Comunidad menor que Flutter y menos ejemplos offline-first</t>
  </si>
  <si>
    <t xml:space="preserve">Solo tiene sentido si el backend termina siendo .NET y se quiere un único lenguaje para los dos</t>
  </si>
  <si>
    <t xml:space="preserve">React Native</t>
  </si>
  <si>
    <t xml:space="preserve">Framework JavaScript con puente nativo</t>
  </si>
  <si>
    <t xml:space="preserve">APK con runtime JS y dependencias npm</t>
  </si>
  <si>
    <t xml:space="preserve">Alta, pero con árbol de dependencias grande y actualizaciones frecuentes</t>
  </si>
  <si>
    <t xml:space="preserve">La demo se construyó con cero dependencias porque cada «npm install» es un punto de fallo donde la app tiene que funcionar. No aporta nada sobre Flutter</t>
  </si>
  <si>
    <t xml:space="preserve">Business Layer · orquestador local</t>
  </si>
  <si>
    <t xml:space="preserve">Código propio dentro de la app</t>
  </si>
  <si>
    <t xml:space="preserve">Capa de aplicación escrita a mano, sin marco</t>
  </si>
  <si>
    <t xml:space="preserve">Dentro del proceso de la app de captura</t>
  </si>
  <si>
    <t xml:space="preserve">Depende del equipo. Es el corazón de N1: valida, decide y guarda</t>
  </si>
  <si>
    <t xml:space="preserve">No hay librería que resuelva esto: la lógica de «validar antes de guardar» es específica del dominio. Lo que sí conviene es un patrón claro (casos de uso) para que Juan y Jerónimo escriban igual</t>
  </si>
  <si>
    <t xml:space="preserve">Riverpod / Bloc (si Flutter)</t>
  </si>
  <si>
    <t xml:space="preserve">Librería de gestión de estado y flujo de la aplicación</t>
  </si>
  <si>
    <t xml:space="preserve">MIT / BSD. Sin costo</t>
  </si>
  <si>
    <t xml:space="preserve">Embebida en la app</t>
  </si>
  <si>
    <t xml:space="preserve">Alta. Son el estándar de facto en Flutter</t>
  </si>
  <si>
    <t xml:space="preserve">No sustituye la lógica, la organiza. Útil para que el estado de la captura no quede desperdigado por la interfaz</t>
  </si>
  <si>
    <t xml:space="preserve">Captura de identificador físico · QR</t>
  </si>
  <si>
    <t xml:space="preserve">API BarcodeDetector del navegador</t>
  </si>
  <si>
    <t xml:space="preserve">API del navegador</t>
  </si>
  <si>
    <t xml:space="preserve">Dentro de la PWA</t>
  </si>
  <si>
    <t xml:space="preserve">Media. Soporte desigual entre navegadores y exige HTTPS o localhost</t>
  </si>
  <si>
    <t xml:space="preserve">Es lo que la demo usa hoy. Con la IP de la red local no funciona: necesita el túnel o certificado</t>
  </si>
  <si>
    <t xml:space="preserve">ZXing · ML Kit Barcode Scanning</t>
  </si>
  <si>
    <t xml:space="preserve">Librería nativa de lectura de códigos</t>
  </si>
  <si>
    <t xml:space="preserve">Apache 2.0 / gratuito en el dispositivo</t>
  </si>
  <si>
    <t xml:space="preserve">Embebida en la app nativa</t>
  </si>
  <si>
    <t xml:space="preserve">Muy alta. ZXing es el estándar histórico; ML Kit funciona sin conexión</t>
  </si>
  <si>
    <t xml:space="preserve">Si la app es nativa o Flutter, esta es la opción sin condiciones de HTTPS ni permisos raros. ML Kit corre en el dispositivo, sin llamadas a la nube</t>
  </si>
  <si>
    <t xml:space="preserve">Configuración Local reciente · almacén del paquete versionado</t>
  </si>
  <si>
    <t xml:space="preserve">Motor de base de datos embebido, un archivo</t>
  </si>
  <si>
    <t xml:space="preserve">Dominio público. SQLCipher: BSD; la variante comercial añade soporte</t>
  </si>
  <si>
    <t xml:space="preserve">Máxima. Es el almacén más desplegado del mundo</t>
  </si>
  <si>
    <t xml:space="preserve">Cifrado en reposo demostrable con SQLCipher, consultas reales sobre el catálogo, y ninguna de las limitaciones de IndexedDB en iOS</t>
  </si>
  <si>
    <t xml:space="preserve">Dentro del navegador del dispositivo</t>
  </si>
  <si>
    <t xml:space="preserve">Alta como API, frágil como garantía</t>
  </si>
  <si>
    <t xml:space="preserve">iOS y Safari desalojan IndexedDB tras ~7 días sin abrir la app si no está instalada: eso incumple la pérdida CERO de CN-15</t>
  </si>
  <si>
    <t xml:space="preserve">Archivo JSON firmado en disco</t>
  </si>
  <si>
    <t xml:space="preserve">Fichero plano + verificación de firma</t>
  </si>
  <si>
    <t xml:space="preserve">Dentro del área privada de la app</t>
  </si>
  <si>
    <t xml:space="preserve">Alta por simplicidad. Sin consultas ni índices</t>
  </si>
  <si>
    <t xml:space="preserve">Encaja bien con el modelo de «paquete versionado que se reemplaza entero», que es exactamente el ciclo de vida de CT-01</t>
  </si>
  <si>
    <t xml:space="preserve">Motor de reglas · instancia local</t>
  </si>
  <si>
    <t xml:space="preserve">Catálogo declarativo propio en JSON (reglas.v1.json, ya existe)</t>
  </si>
  <si>
    <t xml:space="preserve">Archivo de datos versionado + evaluador propio</t>
  </si>
  <si>
    <t xml:space="preserve">Baja con el paquete de configuración; el evaluador va embebido en la app</t>
  </si>
  <si>
    <t xml:space="preserve">Ya construido con nueve reglas y probado. Riesgo: el catálogo completo de reglas duras no se ha levantado (D1)</t>
  </si>
  <si>
    <t xml:space="preserve">Cumple ESC-07 (cambiar una regla con 0 despliegues) y permite que el MISMO evaluador corra en dispositivo y servidor, que es lo que ESC-57 exige</t>
  </si>
  <si>
    <t xml:space="preserve">JSONLogic</t>
  </si>
  <si>
    <t xml:space="preserve">Librería que evalúa reglas escritas en JSON</t>
  </si>
  <si>
    <t xml:space="preserve">Embebida. Hay implementación en casi todos los lenguajes</t>
  </si>
  <si>
    <t xml:space="preserve">Media-alta. Especificación pequeña y estable, comunidad modesta</t>
  </si>
  <si>
    <t xml:space="preserve">Ventaja decisiva: existe en JS, Dart, Kotlin, Python y Java, así que el mismo archivo de reglas se evalúa igual en los dos lados</t>
  </si>
  <si>
    <t xml:space="preserve">CEL · Common Expression Language</t>
  </si>
  <si>
    <t xml:space="preserve">Lenguaje de expresiones con evaluadores oficiales</t>
  </si>
  <si>
    <t xml:space="preserve">Embebido como librería</t>
  </si>
  <si>
    <t xml:space="preserve">Alta. Lo mantiene Google y lo usan Kubernetes y Envoy</t>
  </si>
  <si>
    <t xml:space="preserve">Más expresivo que JSONLogic y con implementaciones en Go, Java, C++ y Python. Menos cobertura en Dart o Kotlin puro</t>
  </si>
  <si>
    <t xml:space="preserve">Drools</t>
  </si>
  <si>
    <t xml:space="preserve">Motor de reglas de negocio completo (JVM)</t>
  </si>
  <si>
    <t xml:space="preserve">Servicio o librería JVM</t>
  </si>
  <si>
    <t xml:space="preserve">Alta, pero pesada para este alcance</t>
  </si>
  <si>
    <t xml:space="preserve">No corre en el dispositivo salvo que toda la app sea JVM, y ESC-57 exige el mismo evaluador en los dos lados. Sobredimensionado para nueve reglas</t>
  </si>
  <si>
    <t xml:space="preserve">Servicio de Cifrado del dispositivo</t>
  </si>
  <si>
    <t xml:space="preserve">Android Keystore + SQLCipher</t>
  </si>
  <si>
    <t xml:space="preserve">Almacén de claves respaldado por hardware + base de datos cifrada</t>
  </si>
  <si>
    <t xml:space="preserve">En el dispositivo, con la clave protegida por el hardware</t>
  </si>
  <si>
    <t xml:space="preserve">Muy alta. Es el mecanismo estándar de la plataforma</t>
  </si>
  <si>
    <t xml:space="preserve">Es la única combinación que hace el cifrado en reposo DEMOSTRABLE, que es lo que A5 necesita y la PWA no puede dar</t>
  </si>
  <si>
    <t xml:space="preserve">WebCrypto API</t>
  </si>
  <si>
    <t xml:space="preserve">API de criptografía del navegador</t>
  </si>
  <si>
    <t xml:space="preserve">Alta como API. La debilidad no es el algoritmo, es dónde queda la clave</t>
  </si>
  <si>
    <t xml:space="preserve">Cifra de verdad, pero la clave termina guardada en IndexedDB junto a los datos. Sirve contra un curioso, no ante un auditor</t>
  </si>
  <si>
    <t xml:space="preserve">Servicio de sincronización · cliente</t>
  </si>
  <si>
    <t xml:space="preserve">Contrato propio sobre HTTP con identidad de registro (lo ya construido)</t>
  </si>
  <si>
    <t xml:space="preserve">Código propio + UUID v7 por registro</t>
  </si>
  <si>
    <t xml:space="preserve">Dentro de la app</t>
  </si>
  <si>
    <t xml:space="preserve">Ya escrito y probado, incluido el caso de sincronización interrumpida</t>
  </si>
  <si>
    <t xml:space="preserve">RF-003 y CT-03 piden entregar exactamente una vez, reanudable y con ventana de 15 días. Es un contrato pequeño y el equipo ya lo tiene funcionando</t>
  </si>
  <si>
    <t xml:space="preserve">CouchDB + PouchDB</t>
  </si>
  <si>
    <t xml:space="preserve">Base de datos con replicación bidireccional incorporada</t>
  </si>
  <si>
    <t xml:space="preserve">PouchDB en el dispositivo, CouchDB en el nodo de finca</t>
  </si>
  <si>
    <t xml:space="preserve">Alta y probada en offline-first desde hace más de una década</t>
  </si>
  <si>
    <t xml:space="preserve">Resuelve la replicación de fábrica, pero su resolución de conflictos conserva ambas ramas — y B7 fijó lo contrario: gana el más reciente, sin mediación</t>
  </si>
  <si>
    <t xml:space="preserve">ElectricSQL</t>
  </si>
  <si>
    <t xml:space="preserve">Capa de sincronización sobre Postgres y SQLite</t>
  </si>
  <si>
    <t xml:space="preserve">Apache 2.0</t>
  </si>
  <si>
    <t xml:space="preserve">Librería en el dispositivo + servicio junto a Postgres</t>
  </si>
  <si>
    <t xml:space="preserve">Joven. Proyecto activo pero con API todavía en movimiento</t>
  </si>
  <si>
    <t xml:space="preserve">Encaja conceptualmente muy bien (Postgres arriba, SQLite abajo). El riesgo es de madurez, y CN-06 dice que el equipo no tiene margen para depurar librerías ajenas</t>
  </si>
  <si>
    <t xml:space="preserve">WatermelonDB</t>
  </si>
  <si>
    <t xml:space="preserve">Base de datos reactiva con protocolo de sincronización propio</t>
  </si>
  <si>
    <t xml:space="preserve">MIT</t>
  </si>
  <si>
    <t xml:space="preserve">Librería en la app (React Native / JS)</t>
  </si>
  <si>
    <t xml:space="preserve">Media. Comunidad activa pero acotada a JS</t>
  </si>
  <si>
    <t xml:space="preserve">Su protocolo deja la política de conflictos en manos del servidor, que es justo lo que hace falta aquí. Atado al mundo JS</t>
  </si>
  <si>
    <t xml:space="preserve">Firebase Firestore con persistencia offline</t>
  </si>
  <si>
    <t xml:space="preserve">Base de datos gestionada con caché local</t>
  </si>
  <si>
    <t xml:space="preserve">Comercial. Cobra por lectura, escritura y almacenamiento</t>
  </si>
  <si>
    <t xml:space="preserve">Nube de Google + caché en el dispositivo</t>
  </si>
  <si>
    <t xml:space="preserve">Muy alta</t>
  </si>
  <si>
    <t xml:space="preserve">Exige la nube de Google como autoridad del dato, y CN-37 dice que la autoridad es el nodo de la finca. Además el precio escala con el uso (CN-35)</t>
  </si>
  <si>
    <t xml:space="preserve">Verificación de permisos · IAM offline</t>
  </si>
  <si>
    <t xml:space="preserve">Verificación local de un token firmado (JWT o PASETO)</t>
  </si>
  <si>
    <t xml:space="preserve">Librería de criptografía + código propio. El token viaja dentro del paquete de configuración</t>
  </si>
  <si>
    <t xml:space="preserve">Sin costo. Librerías open source</t>
  </si>
  <si>
    <t xml:space="preserve">Dentro de la app. Verifica la firma sin red</t>
  </si>
  <si>
    <t xml:space="preserve">Alta. Es criptografía estándar; PASETO evita las trampas de configuración de JWT</t>
  </si>
  <si>
    <t xml:space="preserve">Única forma de cumplir CN-23: autenticar toda la jornada sin red. La credencial baja con el paquete versionado y se verifica contra la clave pública del nodo</t>
  </si>
  <si>
    <t xml:space="preserve">Auth0 · Okta · AWS Cognito</t>
  </si>
  <si>
    <t xml:space="preserve">Servicio gestionado de identidad (SaaS)</t>
  </si>
  <si>
    <t xml:space="preserve">Comercial. Cobra por usuario activo mensual</t>
  </si>
  <si>
    <t xml:space="preserve">En la nube del proveedor</t>
  </si>
  <si>
    <t xml:space="preserve">Muy alta, pero irrelevante aquí</t>
  </si>
  <si>
    <t xml:space="preserve">Dos motivos independientes y cada uno basta: exigen estar en línea para autenticar —en el invernadero no hay red (CN-17)— y su precio escala por usuario (CN-35)</t>
  </si>
  <si>
    <t xml:space="preserve">N2</t>
  </si>
  <si>
    <t xml:space="preserve">API Gateway &amp; WAF</t>
  </si>
  <si>
    <t xml:space="preserve">nginx</t>
  </si>
  <si>
    <t xml:space="preserve">Servidor y proxy inverso</t>
  </si>
  <si>
    <t xml:space="preserve">BSD-2. Sin costo</t>
  </si>
  <si>
    <t xml:space="preserve">Contenedor o paquete del sistema en el servidor de finca</t>
  </si>
  <si>
    <t xml:space="preserve">Máxima. El proxy más desplegado que existe</t>
  </si>
  <si>
    <t xml:space="preserve">Puerta única barata y conocida. Termina TLS y enruta; un WAF real aquí aporta poco porque el tráfico es interno</t>
  </si>
  <si>
    <t xml:space="preserve">Caddy</t>
  </si>
  <si>
    <t xml:space="preserve">Servidor web y proxy inverso con TLS automático</t>
  </si>
  <si>
    <t xml:space="preserve">Binario único o contenedor</t>
  </si>
  <si>
    <t xml:space="preserve">Alta. Configuración muy corta</t>
  </si>
  <si>
    <t xml:space="preserve">Su ventaja aquí es concreta: gestiona certificados solo, y en una finca sin administrador dedicado eso importa (ESC-53)</t>
  </si>
  <si>
    <t xml:space="preserve">Traefik</t>
  </si>
  <si>
    <t xml:space="preserve">Proxy inverso con descubrimiento de servicios</t>
  </si>
  <si>
    <t xml:space="preserve">Contenedor</t>
  </si>
  <si>
    <t xml:space="preserve">Brilla con orquestadores; sin Kubernetes su ventaja principal se pierde</t>
  </si>
  <si>
    <t xml:space="preserve">Kong · Apache APISIX</t>
  </si>
  <si>
    <t xml:space="preserve">Gateway de API completo con plugins</t>
  </si>
  <si>
    <t xml:space="preserve">Apache 2.0 el núcleo; el panel es comercial</t>
  </si>
  <si>
    <t xml:space="preserve">Contenedor + base de datos propia</t>
  </si>
  <si>
    <t xml:space="preserve">Alta, pero pesado</t>
  </si>
  <si>
    <t xml:space="preserve">Sobredimensionado para ~10 concurrentes. Añade una base de datos más que mantener en casa del cliente</t>
  </si>
  <si>
    <t xml:space="preserve">AWS API Gateway · Azure APIM</t>
  </si>
  <si>
    <t xml:space="preserve">Servicio gestionado de la nube</t>
  </si>
  <si>
    <t xml:space="preserve">Comercial. Cobra por millón de peticiones</t>
  </si>
  <si>
    <t xml:space="preserve">Solo en la nube del proveedor</t>
  </si>
  <si>
    <t xml:space="preserve">CN-37: el gateway está en el camino crítico y debe funcionar sin internet. Y ESC-16 pide 0 cambios de código entre nube y sitio</t>
  </si>
  <si>
    <t xml:space="preserve">Archivo Histórico</t>
  </si>
  <si>
    <t xml:space="preserve">Particionado por año en PostgreSQL</t>
  </si>
  <si>
    <t xml:space="preserve">Función del propio motor</t>
  </si>
  <si>
    <t xml:space="preserve">La misma base</t>
  </si>
  <si>
    <t xml:space="preserve">Alta. Es funcionalidad nativa</t>
  </si>
  <si>
    <t xml:space="preserve">A3 fijó 2 años de búsqueda rápida y demora escalonada después: el particionado da exactamente eso sin mover los datos</t>
  </si>
  <si>
    <t xml:space="preserve">Exportes comprimidos y firmados</t>
  </si>
  <si>
    <t xml:space="preserve">Archivos en disco + índice</t>
  </si>
  <si>
    <t xml:space="preserve">Disco del servidor o volumen externo</t>
  </si>
  <si>
    <t xml:space="preserve">Alta por simplicidad</t>
  </si>
  <si>
    <t xml:space="preserve">Barato y verificable. Recuperar exige un paso manual, aceptable dentro del «1 día o menos» de ESC-42</t>
  </si>
  <si>
    <t xml:space="preserve">Base de Datos principal</t>
  </si>
  <si>
    <t xml:space="preserve">PostgreSQL</t>
  </si>
  <si>
    <t xml:space="preserve">Motor de base de datos relacional</t>
  </si>
  <si>
    <t xml:space="preserve">PostgreSQL License (tipo BSD). Sin licencias por núcleo</t>
  </si>
  <si>
    <t xml:space="preserve">Máxima. JSONB, particionado y herramientas de respaldo maduras</t>
  </si>
  <si>
    <t xml:space="preserve">JSONB resuelve CN-36 —campos como datos y no como columnas— sin renunciar a integridad relacional. El particionado por año sirve al archivo histórico</t>
  </si>
  <si>
    <t xml:space="preserve">MariaDB · MySQL</t>
  </si>
  <si>
    <t xml:space="preserve">GPL / dual. Sin costo en la variante libre</t>
  </si>
  <si>
    <t xml:space="preserve">Contenedor o paquete del sistema</t>
  </si>
  <si>
    <t xml:space="preserve">Máxima</t>
  </si>
  <si>
    <t xml:space="preserve">Perfectamente viable. Su soporte de JSON y particionado es más pobre que el de Postgres, y CN-36 se apoya justo ahí</t>
  </si>
  <si>
    <t xml:space="preserve">SQL Server Express</t>
  </si>
  <si>
    <t xml:space="preserve">Gratuito con límites: 10 GB por base y 1 GB de RAM</t>
  </si>
  <si>
    <t xml:space="preserve">Servicio de Windows</t>
  </si>
  <si>
    <t xml:space="preserve">Los 10 GB pueden alcanzar para una finca, pero convierten el crecimiento en riesgo comercial: al superarlos hay que comprar licencia (choca con CN-35)</t>
  </si>
  <si>
    <t xml:space="preserve">MongoDB</t>
  </si>
  <si>
    <t xml:space="preserve">Base de datos documental</t>
  </si>
  <si>
    <t xml:space="preserve">SSPL. La variante gestionada es comercial</t>
  </si>
  <si>
    <t xml:space="preserve">Contenedor o servicio</t>
  </si>
  <si>
    <t xml:space="preserve">Encaja con CN-36 de forma natural, pero el dominio es fuertemente relacional y RF-018 exige que día, semana y mes salgan del mismo cálculo</t>
  </si>
  <si>
    <t xml:space="preserve">Oracle · SQL Server Standard</t>
  </si>
  <si>
    <t xml:space="preserve">Motor comercial</t>
  </si>
  <si>
    <t xml:space="preserve">Comercial. Licencia por núcleo o por servidor</t>
  </si>
  <si>
    <t xml:space="preserve">Servidor de finca</t>
  </si>
  <si>
    <t xml:space="preserve">CN-35 prohíbe licencias que escalen por instalación. Con N fincas, cada despliegue sería una licencia más</t>
  </si>
  <si>
    <t xml:space="preserve">Bitácora de Auditoría</t>
  </si>
  <si>
    <t xml:space="preserve">Tabla append-only con encadenamiento por hash</t>
  </si>
  <si>
    <t xml:space="preserve">Esquema propio en la misma base</t>
  </si>
  <si>
    <t xml:space="preserve">Dentro de la base de datos</t>
  </si>
  <si>
    <t xml:space="preserve">Depende del equipo. El patrón es conocido y simple</t>
  </si>
  <si>
    <t xml:space="preserve">ESC-40 pide 0 entradas modificadas o borradas. El encadenamiento por hash hace detectable cualquier alteración sin infraestructura extra</t>
  </si>
  <si>
    <t xml:space="preserve">Almacenamiento WORM · S3 Object Lock</t>
  </si>
  <si>
    <t xml:space="preserve">Almacenamiento inmutable por política</t>
  </si>
  <si>
    <t xml:space="preserve">Comercial en la nube; MinIO lo ofrece autoalojado</t>
  </si>
  <si>
    <t xml:space="preserve">Servicio de objetos</t>
  </si>
  <si>
    <t xml:space="preserve">Inmutabilidad garantizada por el almacén y no por convención. Añade un componente más que administrar dentro de la finca</t>
  </si>
  <si>
    <t xml:space="preserve">Configuración y parametrización versionada</t>
  </si>
  <si>
    <t xml:space="preserve">Tablas versionadas en la propia base + paquete firmado</t>
  </si>
  <si>
    <t xml:space="preserve">Esquema propio + firma criptográfica</t>
  </si>
  <si>
    <t xml:space="preserve">Dentro de la base de datos de la finca</t>
  </si>
  <si>
    <t xml:space="preserve">Depende del equipo. No hay producto que lo resuelva</t>
  </si>
  <si>
    <t xml:space="preserve">CT-01 pide un paquete completo con un solo número de versión. La firma es lo que permite al dispositivo confiar en lo que recibió</t>
  </si>
  <si>
    <t xml:space="preserve">etcd · Consul</t>
  </si>
  <si>
    <t xml:space="preserve">Almacén de configuración distribuido</t>
  </si>
  <si>
    <t xml:space="preserve">Apache 2.0 / MPL</t>
  </si>
  <si>
    <t xml:space="preserve">Servicio adicional</t>
  </si>
  <si>
    <t xml:space="preserve">Pensados para clústeres. Aquí hay una sola instalación y el catálogo ya vive en la base</t>
  </si>
  <si>
    <t xml:space="preserve">Consulta y Tableros · lado servidor</t>
  </si>
  <si>
    <t xml:space="preserve">Endpoints propios del backend</t>
  </si>
  <si>
    <t xml:space="preserve">Código propio</t>
  </si>
  <si>
    <t xml:space="preserve">Backend de la finca</t>
  </si>
  <si>
    <t xml:space="preserve">Depende del equipo</t>
  </si>
  <si>
    <t xml:space="preserve">RF-018 exige que día, semana y mes salgan del MISMO cálculo. Un endpoint por agregación garantiza eso; dos herramientas distintas no</t>
  </si>
  <si>
    <t xml:space="preserve">Metabase · Apache Superset</t>
  </si>
  <si>
    <t xml:space="preserve">Herramienta de BI autoalojada</t>
  </si>
  <si>
    <t xml:space="preserve">AGPL / Apache 2.0</t>
  </si>
  <si>
    <t xml:space="preserve">Contenedor en el servidor de finca</t>
  </si>
  <si>
    <t xml:space="preserve">Daría tableros gratis, pero DEC-10 acota el BI a seis reportes concretos y el resultado queda fuera del control de RF-012 dentro del archivo exportado</t>
  </si>
  <si>
    <t xml:space="preserve">Power BI Report Server</t>
  </si>
  <si>
    <t xml:space="preserve">Servidor de informes comercial</t>
  </si>
  <si>
    <t xml:space="preserve">Comercial, por servidor o por usuario</t>
  </si>
  <si>
    <t xml:space="preserve">Windows Server</t>
  </si>
  <si>
    <t xml:space="preserve">CN-35. Y B5 pide que Power BI sea el consumidor externo, no el motor interno</t>
  </si>
  <si>
    <t xml:space="preserve">Empaquetado y Despliegue</t>
  </si>
  <si>
    <t xml:space="preserve">Docker Compose</t>
  </si>
  <si>
    <t xml:space="preserve">Orquestador de contenedores de un solo host</t>
  </si>
  <si>
    <t xml:space="preserve">Muy alta. Un archivo y dos comandos</t>
  </si>
  <si>
    <t xml:space="preserve">ESC-16 pide 0 cambios de código entre nube y sitio y CN-07 da 7 días de puesta en marcha. Compose cumple los dos y lo entiende un ingeniero de finca</t>
  </si>
  <si>
    <t xml:space="preserve">Paquete del sistema (.deb / .rpm) o servicio systemd</t>
  </si>
  <si>
    <t xml:space="preserve">Empaquetado nativo del sistema operativo</t>
  </si>
  <si>
    <t xml:space="preserve">Sin capa de contenedores: menos piezas, pero un paquete por distribución y por versión</t>
  </si>
  <si>
    <t xml:space="preserve">Máquina virtual preconfigurada (OVA)</t>
  </si>
  <si>
    <t xml:space="preserve">Imagen de disco completa</t>
  </si>
  <si>
    <t xml:space="preserve">Hipervisor del cliente</t>
  </si>
  <si>
    <t xml:space="preserve">La instalación más rápida posible, que es lo que CN-07 necesita. A cambio, actualizar exige reemplazar la imagen</t>
  </si>
  <si>
    <t xml:space="preserve">Kubernetes · K3s</t>
  </si>
  <si>
    <t xml:space="preserve">Orquestador de contenedores</t>
  </si>
  <si>
    <t xml:space="preserve">Clúster</t>
  </si>
  <si>
    <t xml:space="preserve">Muy alta, pero operativamente cara</t>
  </si>
  <si>
    <t xml:space="preserve">~10 concurrentes por instalación (A10). La complejidad no la sostienen dos ingenieros (CN-06) ni el ingeniero de la finca (ESC-53)</t>
  </si>
  <si>
    <t xml:space="preserve">Framework de servicios · ingesta, reglas, proyección, consulta</t>
  </si>
  <si>
    <t xml:space="preserve">Spring Boot (Java / Kotlin)</t>
  </si>
  <si>
    <t xml:space="preserve">Framework de aplicación</t>
  </si>
  <si>
    <t xml:space="preserve">JAR ejecutable o contenedor</t>
  </si>
  <si>
    <t xml:space="preserve">Máxima. Documentación y ejemplos abundantes</t>
  </si>
  <si>
    <t xml:space="preserve">Lo aburrido y bien documentado es una decisión de arquitectura aquí: CN-06 dice que el equipo no tiene experiencia medible en el sector</t>
  </si>
  <si>
    <t xml:space="preserve">.NET 8 · ASP.NET Core</t>
  </si>
  <si>
    <t xml:space="preserve">Binario autocontenido o contenedor</t>
  </si>
  <si>
    <t xml:space="preserve">Máxima. Buen rendimiento y despliegue de un solo archivo</t>
  </si>
  <si>
    <t xml:space="preserve">El despliegue autocontenido encaja muy bien con instalar en casa de N clientes: un archivo y un servicio del sistema</t>
  </si>
  <si>
    <t xml:space="preserve">Node.js + TypeScript (NestJS / Fastify)</t>
  </si>
  <si>
    <t xml:space="preserve">Contenedor o proceso del sistema</t>
  </si>
  <si>
    <t xml:space="preserve">Alta. Mismo lenguaje que una PWA de captura</t>
  </si>
  <si>
    <t xml:space="preserve">Si la app de captura sigue siendo web, comparte lenguaje y hasta el evaluador de reglas — que es lo que ESC-57 exige</t>
  </si>
  <si>
    <t xml:space="preserve">Python + FastAPI · Django</t>
  </si>
  <si>
    <t xml:space="preserve">Alta. Django trae panel de administración de fábrica</t>
  </si>
  <si>
    <t xml:space="preserve">Django resolvería gratis buena parte del panel de administración de N3. A cambio, menos rendimiento por proceso</t>
  </si>
  <si>
    <t xml:space="preserve">Go (Echo / Chi)</t>
  </si>
  <si>
    <t xml:space="preserve">Lenguaje y librerías HTTP</t>
  </si>
  <si>
    <t xml:space="preserve">BSD / MIT. Sin costo</t>
  </si>
  <si>
    <t xml:space="preserve">Binario único, sin runtime</t>
  </si>
  <si>
    <t xml:space="preserve">Alta. El binario único es ideal para instalar en casa ajena</t>
  </si>
  <si>
    <t xml:space="preserve">Excelente para el despliegue; es el ecosistema donde el equipo tendría más que aprender de cero</t>
  </si>
  <si>
    <t xml:space="preserve">AWS Lambda · Azure Functions</t>
  </si>
  <si>
    <t xml:space="preserve">Ejecución serverless gestionada</t>
  </si>
  <si>
    <t xml:space="preserve">Comercial. Cobra por invocación</t>
  </si>
  <si>
    <t xml:space="preserve">Solo en la nube</t>
  </si>
  <si>
    <t xml:space="preserve">CN-37: todo el camino crítico corre dentro de la finca, sin internet. El serverless no existe fuera de la nube</t>
  </si>
  <si>
    <t xml:space="preserve">Generador de archivos · Excel</t>
  </si>
  <si>
    <t xml:space="preserve">Apache POI · openpyxl · ClosedXML</t>
  </si>
  <si>
    <t xml:space="preserve">Librería de generación de hojas de cálculo</t>
  </si>
  <si>
    <t xml:space="preserve">Apache 2.0 / MIT</t>
  </si>
  <si>
    <t xml:space="preserve">Embebida en el backend</t>
  </si>
  <si>
    <t xml:space="preserve">RF-019 y ESC-51: archivo generado en 30 segundos o menos. Sin servicio externo, porque el archivo lleva datos de negocio</t>
  </si>
  <si>
    <t xml:space="preserve">Generador de archivos · Excel y PDF</t>
  </si>
  <si>
    <t xml:space="preserve">Servicios de generación en la nube</t>
  </si>
  <si>
    <t xml:space="preserve">Servicio gestionado</t>
  </si>
  <si>
    <t xml:space="preserve">Comercial por documento</t>
  </si>
  <si>
    <t xml:space="preserve">Nube</t>
  </si>
  <si>
    <t xml:space="preserve">El archivo lleva información de negocio de la empresa: CN-28 y CN-03 lo impiden</t>
  </si>
  <si>
    <t xml:space="preserve">Generador de archivos · PDF</t>
  </si>
  <si>
    <t xml:space="preserve">WeasyPrint · Puppeteer · QuestPDF</t>
  </si>
  <si>
    <t xml:space="preserve">Librería de generación de PDF</t>
  </si>
  <si>
    <t xml:space="preserve">BSD / Apache / MIT</t>
  </si>
  <si>
    <t xml:space="preserve">Todas libres. Generan desde HTML o desde una API declarativa</t>
  </si>
  <si>
    <t xml:space="preserve">iText</t>
  </si>
  <si>
    <t xml:space="preserve">AGPL o licencia comercial</t>
  </si>
  <si>
    <t xml:space="preserve">Embebida</t>
  </si>
  <si>
    <t xml:space="preserve">La AGPL obliga a liberar el código o a comprar licencia. Con N instalaciones eso es un costo que escala: choca con CN-35</t>
  </si>
  <si>
    <t xml:space="preserve">Gestión de dispositivos · MDM ligero</t>
  </si>
  <si>
    <t xml:space="preserve">Capacidad propia dentro de la consola</t>
  </si>
  <si>
    <t xml:space="preserve">Son 3 capturadores. ESC-25 y ESC-46 piden actualizar y forzar sincronización, y eso es una orden en la cola, no un producto</t>
  </si>
  <si>
    <t xml:space="preserve">Android Enterprise · Managed Google Play</t>
  </si>
  <si>
    <t xml:space="preserve">Plataforma de gestión de dispositivos</t>
  </si>
  <si>
    <t xml:space="preserve">Gratuita la base; los paneles de terceros son comerciales</t>
  </si>
  <si>
    <t xml:space="preserve">Nube de Google + dispositivos inscritos</t>
  </si>
  <si>
    <t xml:space="preserve">Da despliegue de app y borrado remoto de fábrica —y el cliente dijo SÍ a borrado remoto—. Ata la operación a estar en línea</t>
  </si>
  <si>
    <t xml:space="preserve">Microsoft Intune · Workspace ONE</t>
  </si>
  <si>
    <t xml:space="preserve">MDM comercial completo</t>
  </si>
  <si>
    <t xml:space="preserve">Comercial, por dispositivo y mes</t>
  </si>
  <si>
    <t xml:space="preserve">CN-35: el precio escala por dispositivo. Y son tres dispositivos</t>
  </si>
  <si>
    <t xml:space="preserve">Identidad y permisos · RBAC</t>
  </si>
  <si>
    <t xml:space="preserve">Identidad propia del nodo + firma de credenciales</t>
  </si>
  <si>
    <t xml:space="preserve">Código propio + librería criptográfica</t>
  </si>
  <si>
    <t xml:space="preserve">Dentro del backend de la finca</t>
  </si>
  <si>
    <t xml:space="preserve">Depende del equipo. Es donde más cuidado hay que tener</t>
  </si>
  <si>
    <t xml:space="preserve">Único camino para emitir la credencial que el dispositivo verifica sin red (CN-23) y evaluar cada permiso contra el par (rol, empresa) de CN-12</t>
  </si>
  <si>
    <t xml:space="preserve">Keycloak</t>
  </si>
  <si>
    <t xml:space="preserve">Servidor de identidad autoalojado</t>
  </si>
  <si>
    <t xml:space="preserve">Apache 2.0. Sin costo por usuario</t>
  </si>
  <si>
    <t xml:space="preserve">Muy alta. Lo respalda Red Hat</t>
  </si>
  <si>
    <t xml:space="preserve">Resuelve usuarios, roles y sesiones de fábrica y se autoaloja, así que CN-35 y CN-37 se cumplen. El costo es operativo: un servicio más en casa de N clientes</t>
  </si>
  <si>
    <t xml:space="preserve">Authentik · Zitadel · Ory</t>
  </si>
  <si>
    <t xml:space="preserve">Servidores de identidad autoalojados</t>
  </si>
  <si>
    <t xml:space="preserve">Open source con ediciones comerciales</t>
  </si>
  <si>
    <t xml:space="preserve">Media-alta. Proyectos jóvenes pero activos</t>
  </si>
  <si>
    <t xml:space="preserve">Más ligeros que Keycloak. Menos ejemplos y menos gente que los conozca</t>
  </si>
  <si>
    <t xml:space="preserve">Servicio gestionado de identidad</t>
  </si>
  <si>
    <t xml:space="preserve">Comercial, por usuario activo</t>
  </si>
  <si>
    <t xml:space="preserve">Nube del proveedor</t>
  </si>
  <si>
    <t xml:space="preserve">Descartado por CN-35 (precio por usuario) y sobre todo por CN-17: exigen estar en línea, y la credencial de campo debe emitirse y verificarse sin internet</t>
  </si>
  <si>
    <t xml:space="preserve">Key Vault · custodia de llaves</t>
  </si>
  <si>
    <t xml:space="preserve">HashiCorp Vault</t>
  </si>
  <si>
    <t xml:space="preserve">Gestor de secretos y llaves autoalojado</t>
  </si>
  <si>
    <t xml:space="preserve">BUSL desde 2023; OpenBao es la bifurcación libre</t>
  </si>
  <si>
    <t xml:space="preserve">Contenedor o binario en el servidor de finca</t>
  </si>
  <si>
    <t xml:space="preserve">Muy alta. Es el estándar del sector</t>
  </si>
  <si>
    <t xml:space="preserve">CN-28 exige que la llave sea del cliente. Vault dentro de la finca es la forma más defendible de decirlo por escrito</t>
  </si>
  <si>
    <t xml:space="preserve">OpenBao</t>
  </si>
  <si>
    <t xml:space="preserve">Bifurcación libre de Vault</t>
  </si>
  <si>
    <t xml:space="preserve">MPL 2.0. Sin costo</t>
  </si>
  <si>
    <t xml:space="preserve">Igual que Vault</t>
  </si>
  <si>
    <t xml:space="preserve">Joven, pero es el mismo código base</t>
  </si>
  <si>
    <t xml:space="preserve">Evita el riesgo de licencia BUSL de Vault. Comunidad todavía pequeña</t>
  </si>
  <si>
    <t xml:space="preserve">Almacén de claves del sistema operativo</t>
  </si>
  <si>
    <t xml:space="preserve">Función del sistema</t>
  </si>
  <si>
    <t xml:space="preserve">Suficiente para una sola instalación y sin servicio extra. No da rotación ni bitácora de acceso a la llave</t>
  </si>
  <si>
    <t xml:space="preserve">AWS KMS · Azure Key Vault</t>
  </si>
  <si>
    <t xml:space="preserve">Servicio gestionado de llaves</t>
  </si>
  <si>
    <t xml:space="preserve">Comercial, por llave y por operación</t>
  </si>
  <si>
    <t xml:space="preserve">Si la llave la administra quien custodia la copia, CN-28 deja de significar nada. Es el descarte más importante de toda la tabla</t>
  </si>
  <si>
    <t xml:space="preserve">Migraciones de esquema</t>
  </si>
  <si>
    <t xml:space="preserve">Flyway</t>
  </si>
  <si>
    <t xml:space="preserve">Herramienta de migraciones versionadas</t>
  </si>
  <si>
    <t xml:space="preserve">Apache 2.0 el núcleo; ediciones avanzadas comerciales</t>
  </si>
  <si>
    <t xml:space="preserve">Al arrancar la aplicación o como paso del despliegue</t>
  </si>
  <si>
    <t xml:space="preserve">Muy alta. Estándar en el mundo JVM</t>
  </si>
  <si>
    <t xml:space="preserve">CN-29 exige migraciones automatizadas y verificables desde el día uno sobre N instalaciones. Flyway es SQL numerado: auditable y sin magia</t>
  </si>
  <si>
    <t xml:space="preserve">Liquibase</t>
  </si>
  <si>
    <t xml:space="preserve">Apache 2.0 el núcleo</t>
  </si>
  <si>
    <t xml:space="preserve">Igual que Flyway</t>
  </si>
  <si>
    <t xml:space="preserve">Más expresivo (independiente del motor) y por eso mismo más indirecto de leer</t>
  </si>
  <si>
    <t xml:space="preserve">Alembic · EF Core Migrations · Prisma Migrate</t>
  </si>
  <si>
    <t xml:space="preserve">Migraciones del propio framework</t>
  </si>
  <si>
    <t xml:space="preserve">Parte del stack elegido</t>
  </si>
  <si>
    <t xml:space="preserve">Si el framework ya trae migraciones, otra herramienta añade una pieza. La condición es que queden en archivos versionados en git</t>
  </si>
  <si>
    <t xml:space="preserve">Motor de proyección</t>
  </si>
  <si>
    <t xml:space="preserve">Cálculo en el propio backend</t>
  </si>
  <si>
    <t xml:space="preserve">Código de dominio</t>
  </si>
  <si>
    <t xml:space="preserve">La fórmula es pequeña; lo difícil es el snapshot inmutable de parámetros (CT-04) y el reparto diario, que sigue BLOQUEADO por D3</t>
  </si>
  <si>
    <t xml:space="preserve">Cálculo en SQL (vistas materializadas)</t>
  </si>
  <si>
    <t xml:space="preserve">Función del motor de base de datos</t>
  </si>
  <si>
    <t xml:space="preserve">Dentro de PostgreSQL</t>
  </si>
  <si>
    <t xml:space="preserve">Rápido y cerca del dato. A cambio, la fórmula del negocio queda escrita en SQL y es más difícil de probar unitariamente</t>
  </si>
  <si>
    <t xml:space="preserve">Observabilidad</t>
  </si>
  <si>
    <t xml:space="preserve">Registros estructurados en archivo + rotación</t>
  </si>
  <si>
    <t xml:space="preserve">Función del sistema y del framework</t>
  </si>
  <si>
    <t xml:space="preserve">Es el mínimo que hace posible ESC-30. Todo lo demás se construye encima</t>
  </si>
  <si>
    <t xml:space="preserve">Prometheus + Grafana</t>
  </si>
  <si>
    <t xml:space="preserve">Métricas y paneles autoalojados</t>
  </si>
  <si>
    <t xml:space="preserve">Apache 2.0 / AGPL</t>
  </si>
  <si>
    <t xml:space="preserve">Contenedores en el servidor de finca</t>
  </si>
  <si>
    <t xml:space="preserve">Autoalojado, sin licencias por instalación. Cuidado: Grafana es AGPL, revisar antes de redistribuirlo dentro del paquete</t>
  </si>
  <si>
    <t xml:space="preserve">Grafana Loki · OpenTelemetry</t>
  </si>
  <si>
    <t xml:space="preserve">Recolección de registros y trazas</t>
  </si>
  <si>
    <t xml:space="preserve">Contenedor o librería</t>
  </si>
  <si>
    <t xml:space="preserve">OpenTelemetry es la apuesta segura para instrumentar sin atarse a un proveedor</t>
  </si>
  <si>
    <t xml:space="preserve">Datadog · New Relic · Sentry gestionado</t>
  </si>
  <si>
    <t xml:space="preserve">Servicio gestionado de observabilidad</t>
  </si>
  <si>
    <t xml:space="preserve">Comercial, por host o por evento</t>
  </si>
  <si>
    <t xml:space="preserve">CN-34 y ESC-50: la telemetría no puede llevar datos de negocio fuera, y el precio escala por instalación (CN-35)</t>
  </si>
  <si>
    <t xml:space="preserve">Planificador de Tareas</t>
  </si>
  <si>
    <t xml:space="preserve">cron · systemd timers</t>
  </si>
  <si>
    <t xml:space="preserve">Programador del sistema operativo</t>
  </si>
  <si>
    <t xml:space="preserve">Tres trabajos periódicos en una máquina. Un orquestador sería complejidad que el ingeniero de la finca no va a mantener (ESC-53)</t>
  </si>
  <si>
    <t xml:space="preserve">Quartz · Hangfire · Celery beat</t>
  </si>
  <si>
    <t xml:space="preserve">Programador dentro de la aplicación</t>
  </si>
  <si>
    <t xml:space="preserve">Apache 2.0 / LGPL / BSD</t>
  </si>
  <si>
    <t xml:space="preserve">Parte del backend</t>
  </si>
  <si>
    <t xml:space="preserve">Ventaja real: las tareas quedan versionadas con el código y se despliegan con él, en vez de vivir en la configuración de una máquina</t>
  </si>
  <si>
    <t xml:space="preserve">Apache Airflow · Prefect</t>
  </si>
  <si>
    <t xml:space="preserve">Orquestador de flujos de datos</t>
  </si>
  <si>
    <t xml:space="preserve">Servicio adicional con su propia base</t>
  </si>
  <si>
    <t xml:space="preserve">Alta pero pesada</t>
  </si>
  <si>
    <t xml:space="preserve">Es un pipeline de datos para tres trabajos periódicos. La complejidad no la sostienen dos ingenieros</t>
  </si>
  <si>
    <t xml:space="preserve">Salida de Datos · consumo externo</t>
  </si>
  <si>
    <t xml:space="preserve">Endpoint REST autenticado y acotado por empresa</t>
  </si>
  <si>
    <t xml:space="preserve">Código propio en el backend</t>
  </si>
  <si>
    <t xml:space="preserve">CT-05 y ESC-29: 0 accesos directos a la base y 100% de las consultas limitadas a la empresa del solicitante</t>
  </si>
  <si>
    <t xml:space="preserve">Usuario de solo lectura + vistas en la base</t>
  </si>
  <si>
    <t xml:space="preserve">Función del motor</t>
  </si>
  <si>
    <t xml:space="preserve">Es lo que Power BI consume más fácilmente. Contradice ESC-29 salvo que se acepte que una vista acotada no es «acceso directo»</t>
  </si>
  <si>
    <t xml:space="preserve">OData · GraphQL</t>
  </si>
  <si>
    <t xml:space="preserve">Protocolo de consulta</t>
  </si>
  <si>
    <t xml:space="preserve">Sin costo (implementaciones libres)</t>
  </si>
  <si>
    <t xml:space="preserve">OData lo consume Power BI de forma nativa, que es exactamente el caso de B5</t>
  </si>
  <si>
    <t xml:space="preserve">Servicio de cifrado</t>
  </si>
  <si>
    <t xml:space="preserve">TLS propio + cifrado de volumen (LUKS) o de base (TDE)</t>
  </si>
  <si>
    <t xml:space="preserve">Funciones del sistema y del motor</t>
  </si>
  <si>
    <t xml:space="preserve">Cubre tránsito y reposo sin añadir componentes. La llave viene del Key Vault, no del proveedor</t>
  </si>
  <si>
    <t xml:space="preserve">pgcrypto · cifrado por columna</t>
  </si>
  <si>
    <t xml:space="preserve">Extensión del motor</t>
  </si>
  <si>
    <t xml:space="preserve">Útil si solo unas columnas deben ir cifradas. Complica las consultas y no aporta si ya se cifra el volumen</t>
  </si>
  <si>
    <t xml:space="preserve">Servicio de notificación</t>
  </si>
  <si>
    <t xml:space="preserve">Correo desde el nodo (SMTP) + aviso dentro de la aplicación</t>
  </si>
  <si>
    <t xml:space="preserve">Librería SMTP + código propio</t>
  </si>
  <si>
    <t xml:space="preserve">Ningún escenario exige inmediatez: el aviso a quien capturó viaja en la siguiente sincronización (RF-022)</t>
  </si>
  <si>
    <t xml:space="preserve">Firebase Cloud Messaging</t>
  </si>
  <si>
    <t xml:space="preserve">Servicio de notificaciones push</t>
  </si>
  <si>
    <t xml:space="preserve">Gratuito hasta volúmenes altos</t>
  </si>
  <si>
    <t xml:space="preserve">Nube de Google + SDK en el dispositivo</t>
  </si>
  <si>
    <t xml:space="preserve">Solo tiene sentido si algún día se exige inmediatez. Hoy añade dependencia de internet donde no hace falta</t>
  </si>
  <si>
    <t xml:space="preserve">Twilio · Amazon SNS</t>
  </si>
  <si>
    <t xml:space="preserve">Pasarela de mensajería (SMS, push)</t>
  </si>
  <si>
    <t xml:space="preserve">Comercial por mensaje</t>
  </si>
  <si>
    <t xml:space="preserve">Infraestructura pagada para un problema que no existe: en campo no hay red y ningún escenario pide aviso inmediato</t>
  </si>
  <si>
    <t xml:space="preserve">Servicio de respaldo</t>
  </si>
  <si>
    <t xml:space="preserve">pgBackRest · Barman</t>
  </si>
  <si>
    <t xml:space="preserve">Herramienta de respaldo y recuperación para PostgreSQL</t>
  </si>
  <si>
    <t xml:space="preserve">MIT / GPL. Sin costo</t>
  </si>
  <si>
    <t xml:space="preserve">Proceso programado en el servidor de finca</t>
  </si>
  <si>
    <t xml:space="preserve">Muy alta. Verificación de respaldos incorporada</t>
  </si>
  <si>
    <t xml:space="preserve">ESC-19 pide una prueba de restauración por mes con resultado registrado: estas herramientas la hacen de fábrica</t>
  </si>
  <si>
    <t xml:space="preserve">Restic · Borg</t>
  </si>
  <si>
    <t xml:space="preserve">Herramienta de respaldo cifrado y deduplicado</t>
  </si>
  <si>
    <t xml:space="preserve">BSD / LGPL. Sin costo</t>
  </si>
  <si>
    <t xml:space="preserve">Binario programado por cron</t>
  </si>
  <si>
    <t xml:space="preserve">Alta. Cifrado de extremo a extremo con clave local</t>
  </si>
  <si>
    <t xml:space="preserve">Encaja perfecto con CN-28: cifra antes de salir y la nube recibe un blob ilegible</t>
  </si>
  <si>
    <t xml:space="preserve">pg_dump + cron</t>
  </si>
  <si>
    <t xml:space="preserve">Herramienta del motor + programador</t>
  </si>
  <si>
    <t xml:space="preserve">Suficiente para empezar. Le falta verificación automática, y una copia no probada solo aparenta cumplir CN-15</t>
  </si>
  <si>
    <t xml:space="preserve">N3</t>
  </si>
  <si>
    <t xml:space="preserve">Aplicativo de consulta · framework web</t>
  </si>
  <si>
    <t xml:space="preserve">React</t>
  </si>
  <si>
    <t xml:space="preserve">Librería de interfaz de usuario</t>
  </si>
  <si>
    <t xml:space="preserve">Se sirve desde el nodo de finca y se ejecuta en el navegador</t>
  </si>
  <si>
    <t xml:space="preserve">Máxima. El ecosistema más grande</t>
  </si>
  <si>
    <t xml:space="preserve">Si la app de captura también es web, comparten lenguaje y utilidades. El mayor mercado de librerías de tablas y gráficos</t>
  </si>
  <si>
    <t xml:space="preserve">Vue 3 · Svelte</t>
  </si>
  <si>
    <t xml:space="preserve">Framework de interfaz de usuario</t>
  </si>
  <si>
    <t xml:space="preserve">Igual que React</t>
  </si>
  <si>
    <t xml:space="preserve">Alta. Curva de aprendizaje más suave</t>
  </si>
  <si>
    <t xml:space="preserve">Menos ceremonia que React para un equipo de dos personas. Svelte produce el paquete más pequeño</t>
  </si>
  <si>
    <t xml:space="preserve">Angular</t>
  </si>
  <si>
    <t xml:space="preserve">Framework completo</t>
  </si>
  <si>
    <t xml:space="preserve">Igual</t>
  </si>
  <si>
    <t xml:space="preserve">Máxima. Trae todo de fábrica</t>
  </si>
  <si>
    <t xml:space="preserve">Ventaja real para dos personas: impone una estructura y evita discusiones. A cambio, más ceremonia</t>
  </si>
  <si>
    <t xml:space="preserve">HTMX + plantillas del servidor</t>
  </si>
  <si>
    <t xml:space="preserve">Librería que extiende HTML</t>
  </si>
  <si>
    <t xml:space="preserve">BSD. Sin costo</t>
  </si>
  <si>
    <t xml:space="preserve">El servidor de finca renderiza; el navegador solo pinta</t>
  </si>
  <si>
    <t xml:space="preserve">Media-alta. Comunidad creciente</t>
  </si>
  <si>
    <t xml:space="preserve">La opción más simple: sin build y sin estado en el cliente. Encaja con que N3 no guarde estado propio</t>
  </si>
  <si>
    <t xml:space="preserve">Aplicación de escritorio instalable</t>
  </si>
  <si>
    <t xml:space="preserve">Ejecutable por puesto</t>
  </si>
  <si>
    <t xml:space="preserve">Varía</t>
  </si>
  <si>
    <t xml:space="preserve">Cada computador de oficina</t>
  </si>
  <si>
    <t xml:space="preserve">La consulta ocurre en oficina con red local y no necesita offline. Instalar en ~32 equipos choca con CN-07</t>
  </si>
  <si>
    <t xml:space="preserve">Exportación de archivos · lado cliente</t>
  </si>
  <si>
    <t xml:space="preserve">Descarga del archivo generado por el servidor</t>
  </si>
  <si>
    <t xml:space="preserve">Mecanismo HTTP estándar</t>
  </si>
  <si>
    <t xml:space="preserve">Navegador</t>
  </si>
  <si>
    <t xml:space="preserve">El archivo se genera en el nodo de finca, donde están los datos y donde se puede aplicar la frontera de empresa de RF-012</t>
  </si>
  <si>
    <t xml:space="preserve">SheetJS · jsPDF en el navegador</t>
  </si>
  <si>
    <t xml:space="preserve">Librería de generación en el cliente</t>
  </si>
  <si>
    <t xml:space="preserve">Apache 2.0 / MIT (SheetJS Pro es comercial)</t>
  </si>
  <si>
    <t xml:space="preserve">Evita carga en el servidor, pero obliga a bajar todos los datos al navegador — y ahí la restricción de empresa es más difícil de garantizar</t>
  </si>
  <si>
    <t xml:space="preserve">Navegación detallada · tabla de datos</t>
  </si>
  <si>
    <t xml:space="preserve">TanStack Table</t>
  </si>
  <si>
    <t xml:space="preserve">Librería de tablas (headless)</t>
  </si>
  <si>
    <t xml:space="preserve">ESC-39 pide llegar de una cifra a los registros que la componen en 3 niveles o menos</t>
  </si>
  <si>
    <t xml:space="preserve">AG Grid Community</t>
  </si>
  <si>
    <t xml:space="preserve">Librería de tablas</t>
  </si>
  <si>
    <t xml:space="preserve">MIT la edición Community</t>
  </si>
  <si>
    <t xml:space="preserve">Potente, pero AG Grid Enterprise es comercial y el salto es fácil de dar sin darse cuenta (CN-35)</t>
  </si>
  <si>
    <t xml:space="preserve">Servicios de lectura y escritura · cliente HTTP</t>
  </si>
  <si>
    <t xml:space="preserve">fetch nativo + capa propia</t>
  </si>
  <si>
    <t xml:space="preserve">Sin dependencias. La separación lectura/escritura es una decisión de diseño, no de librería</t>
  </si>
  <si>
    <t xml:space="preserve">TanStack Query · Axios</t>
  </si>
  <si>
    <t xml:space="preserve">Librería de acceso a datos</t>
  </si>
  <si>
    <t xml:space="preserve">TanStack Query resuelve caché, reintentos y estados de carga, que es la mitad del trabajo de una aplicación de consulta</t>
  </si>
  <si>
    <t xml:space="preserve">Sesión de usuario, roles y permisos</t>
  </si>
  <si>
    <t xml:space="preserve">Cookie de sesión firmada (HttpOnly)</t>
  </si>
  <si>
    <t xml:space="preserve">Mecanismo del navegador + backend</t>
  </si>
  <si>
    <t xml:space="preserve">Navegador + backend de la finca</t>
  </si>
  <si>
    <t xml:space="preserve">La sesión de oficina puede ser corta porque hay red — a diferencia de la de campo, que debe durar la jornada (CN-23). Son dos vidas distintas</t>
  </si>
  <si>
    <t xml:space="preserve">Token en memoria + refresco</t>
  </si>
  <si>
    <t xml:space="preserve">Evita almacenamiento persistente en el navegador, coherente con «N3 no guarda estado»</t>
  </si>
  <si>
    <t xml:space="preserve">Token en localStorage</t>
  </si>
  <si>
    <t xml:space="preserve">Queda expuesto a scripts y persiste tras cerrar el navegador. En un computador compartido de oficina es el peor sitio</t>
  </si>
  <si>
    <t xml:space="preserve">Tableros y Vista de proyección · gráficas</t>
  </si>
  <si>
    <t xml:space="preserve">Apache ECharts</t>
  </si>
  <si>
    <t xml:space="preserve">Librería de visualización</t>
  </si>
  <si>
    <t xml:space="preserve">Embebida en la aplicación web</t>
  </si>
  <si>
    <t xml:space="preserve">Muy alta. Muy completa y con buen rendimiento</t>
  </si>
  <si>
    <t xml:space="preserve">Cubre series temporales, desviaciones y mapas de calor sin pagar nada ni depender de un servicio</t>
  </si>
  <si>
    <t xml:space="preserve">Chart.js</t>
  </si>
  <si>
    <t xml:space="preserve">Librería de gráficas</t>
  </si>
  <si>
    <t xml:space="preserve">Alta. Muy sencilla</t>
  </si>
  <si>
    <t xml:space="preserve">Suficiente para proyectado contra real por día, semana y mes. La opción más rápida de poner en pie</t>
  </si>
  <si>
    <t xml:space="preserve">D3.js</t>
  </si>
  <si>
    <t xml:space="preserve">Librería de visualización de bajo nivel</t>
  </si>
  <si>
    <t xml:space="preserve">ISC. Sin costo</t>
  </si>
  <si>
    <t xml:space="preserve">Máxima, pero es un lenguaje en sí mismo</t>
  </si>
  <si>
    <t xml:space="preserve">Solo si la vista geométrica de camas exige algo que ninguna librería de alto nivel da</t>
  </si>
  <si>
    <t xml:space="preserve">Highcharts</t>
  </si>
  <si>
    <t xml:space="preserve">Librería de gráficas comercial</t>
  </si>
  <si>
    <t xml:space="preserve">Comercial para uso comercial. Por desarrollador o por servidor</t>
  </si>
  <si>
    <t xml:space="preserve">CN-35: con N instalaciones, la licencia se convierte en un costo que escala</t>
  </si>
  <si>
    <t xml:space="preserve">Vista de camas · visualización geométrica</t>
  </si>
  <si>
    <t xml:space="preserve">SVG generado por el propio código</t>
  </si>
  <si>
    <t xml:space="preserve">Formato del navegador</t>
  </si>
  <si>
    <t xml:space="preserve">Las camas son rectángulos con un porcentaje de color (DEC-15). SVG lo hace sin librería y permite hacer clic en cada cama</t>
  </si>
  <si>
    <t xml:space="preserve">Canvas · WebGL (PixiJS)</t>
  </si>
  <si>
    <t xml:space="preserve">API de dibujo del navegador</t>
  </si>
  <si>
    <t xml:space="preserve">Sin costo / MIT</t>
  </si>
  <si>
    <t xml:space="preserve">Solo hace falta si ~1.525 camas en pantalla hacen lento el SVG. Medirlo antes de decidir</t>
  </si>
  <si>
    <t xml:space="preserve">N4</t>
  </si>
  <si>
    <t xml:space="preserve">Control de borde · WAF</t>
  </si>
  <si>
    <t xml:space="preserve">TLS mutuo (mTLS) + límite de tasa en el proxy</t>
  </si>
  <si>
    <t xml:space="preserve">Configuración del proxy inverso</t>
  </si>
  <si>
    <t xml:space="preserve">Delante del gateway en la nube</t>
  </si>
  <si>
    <t xml:space="preserve">Quien habla con N4 son N instalaciones conocidas: es máquina a máquina. mTLS es lo que corresponde, no reglas de aplicación web</t>
  </si>
  <si>
    <t xml:space="preserve">Cloudflare · AWS WAF · ModSecurity</t>
  </si>
  <si>
    <t xml:space="preserve">Cortafuegos de aplicación web</t>
  </si>
  <si>
    <t xml:space="preserve">Comercial / Apache 2.0 (ModSecurity)</t>
  </si>
  <si>
    <t xml:space="preserve">Delante del gateway</t>
  </si>
  <si>
    <t xml:space="preserve">Tendría sentido si N4 expusiera alguna interfaz pública. Hoy no la expone</t>
  </si>
  <si>
    <t xml:space="preserve">Despliegue de versiones · pagas, te actualizas</t>
  </si>
  <si>
    <t xml:space="preserve">Servicio propio que consulta la vigencia antes de entregar</t>
  </si>
  <si>
    <t xml:space="preserve">Es la arista donde vive el mecanismo de E2 y CN-29. Ningún producto lo resuelve porque la condición es comercial, no técnica</t>
  </si>
  <si>
    <t xml:space="preserve">Watchtower · agente de actualización en el nodo</t>
  </si>
  <si>
    <t xml:space="preserve">Servicio que actualiza contenedores</t>
  </si>
  <si>
    <t xml:space="preserve">Media</t>
  </si>
  <si>
    <t xml:space="preserve">Automatiza el lado de la finca. No sabe nada de vigencia de pago: eso hay que ponerlo en el registro</t>
  </si>
  <si>
    <t xml:space="preserve">Identity Management · instalaciones y operadores</t>
  </si>
  <si>
    <t xml:space="preserve">Certificados de cliente por instalación (PKI propia)</t>
  </si>
  <si>
    <t xml:space="preserve">Infraestructura de clave pública</t>
  </si>
  <si>
    <t xml:space="preserve">Nube + cada instalación</t>
  </si>
  <si>
    <t xml:space="preserve">Identifica INSTALACIONES y OPERADORES, nunca usuarios de una finca (CN-34). Un certificado por instalación es lo más simple y lo más auditable</t>
  </si>
  <si>
    <t xml:space="preserve">Keycloak · Zitadel</t>
  </si>
  <si>
    <t xml:space="preserve">Contenedor en la nube</t>
  </si>
  <si>
    <t xml:space="preserve">Útil si el equipo crece y hacen falta varios operadores con permisos distintos</t>
  </si>
  <si>
    <t xml:space="preserve">Infraestructura en la nube · proveedor</t>
  </si>
  <si>
    <t xml:space="preserve">Hetzner · DigitalOcean · OVH</t>
  </si>
  <si>
    <t xml:space="preserve">Servidor virtual (IaaS)</t>
  </si>
  <si>
    <t xml:space="preserve">Comercial. Precio fijo mensual, no por uso</t>
  </si>
  <si>
    <t xml:space="preserve">Máquina virtual con Docker</t>
  </si>
  <si>
    <t xml:space="preserve">Precio predecible y sin servicios propietarios. ESC-16 exige que el mismo paquete corra en nube y en sitio, así que atarse a un proveedor no aporta</t>
  </si>
  <si>
    <t xml:space="preserve">AWS · Azure · Google Cloud</t>
  </si>
  <si>
    <t xml:space="preserve">Nube completa</t>
  </si>
  <si>
    <t xml:space="preserve">Comercial. Precio por uso</t>
  </si>
  <si>
    <t xml:space="preserve">Varios servicios gestionados</t>
  </si>
  <si>
    <t xml:space="preserve">Viable, pero usar sus servicios gestionados rompe ESC-16. Si se usan solo como máquinas virtuales, se paga de más</t>
  </si>
  <si>
    <t xml:space="preserve">Integración y despliegue continuos</t>
  </si>
  <si>
    <t xml:space="preserve">GitHub Actions</t>
  </si>
  <si>
    <t xml:space="preserve">Servicio de integración continua</t>
  </si>
  <si>
    <t xml:space="preserve">Gratuito para repositorios privados hasta cierto uso</t>
  </si>
  <si>
    <t xml:space="preserve">Nube de GitHub</t>
  </si>
  <si>
    <t xml:space="preserve">El repositorio ya está en GitHub. CN-29 exige migraciones automatizadas y verificables desde el día uno</t>
  </si>
  <si>
    <t xml:space="preserve">GitLab CI · Forgejo Actions · Woodpecker</t>
  </si>
  <si>
    <t xml:space="preserve">Integración continua autoalojable</t>
  </si>
  <si>
    <t xml:space="preserve">MIT / Apache 2.0</t>
  </si>
  <si>
    <t xml:space="preserve">Servidor propio</t>
  </si>
  <si>
    <t xml:space="preserve">Si algún día el código no puede salir de la infraestructura del equipo</t>
  </si>
  <si>
    <t xml:space="preserve">Panel de Soporte Remoto</t>
  </si>
  <si>
    <t xml:space="preserve">Interfaz propia sobre el registro de operaciones</t>
  </si>
  <si>
    <t xml:space="preserve">Tiene que dejar constancia de cada acceso (ESC-50), y eso no lo da un panel genérico</t>
  </si>
  <si>
    <t xml:space="preserve">Grafana</t>
  </si>
  <si>
    <t xml:space="preserve">Panel de visualización</t>
  </si>
  <si>
    <t xml:space="preserve">AGPL</t>
  </si>
  <si>
    <t xml:space="preserve">Rápido de montar. No registra por sí solo quién miró qué, que es lo que ESC-50 exige</t>
  </si>
  <si>
    <t xml:space="preserve">Recepción de telemetría y Registro de operaciones</t>
  </si>
  <si>
    <t xml:space="preserve">Archivos de registro con rotación + consultas simples</t>
  </si>
  <si>
    <t xml:space="preserve">Sistema de archivos</t>
  </si>
  <si>
    <t xml:space="preserve">Con N instalaciones pequeñas la telemetría es poca. ESC-30 pide identificar la causa en 4 horas, no en tiempo real</t>
  </si>
  <si>
    <t xml:space="preserve">Grafana Loki · Elasticsearch autoalojado</t>
  </si>
  <si>
    <t xml:space="preserve">Almacén de registros</t>
  </si>
  <si>
    <t xml:space="preserve">AGPL / SSPL</t>
  </si>
  <si>
    <t xml:space="preserve">Verificar la licencia antes: tanto AGPL como SSPL condicionan la redistribución</t>
  </si>
  <si>
    <t xml:space="preserve">Registro de accesos del operador</t>
  </si>
  <si>
    <t xml:space="preserve">Esquema propio</t>
  </si>
  <si>
    <t xml:space="preserve">ESC-50 pide 100% de los accesos excepcionales registrados. Es el respaldo verificable de la cláusula de acceso de implantación de C9</t>
  </si>
  <si>
    <t xml:space="preserve">Repositorio de versiones · paquetes firmados</t>
  </si>
  <si>
    <t xml:space="preserve">Registro de contenedores (Harbor · GHCR · Docker Hub)</t>
  </si>
  <si>
    <t xml:space="preserve">Registro de imágenes</t>
  </si>
  <si>
    <t xml:space="preserve">Apache 2.0 / comercial según el servicio</t>
  </si>
  <si>
    <t xml:space="preserve">Si el despliegue es Docker Compose, el registro es la forma natural de distribuir la versión. Harbor añade firma y escaneo</t>
  </si>
  <si>
    <t xml:space="preserve">Nexus Repository · Artifactory</t>
  </si>
  <si>
    <t xml:space="preserve">Gestor de artefactos</t>
  </si>
  <si>
    <t xml:space="preserve">Nexus OSS gratuito; Artifactory comercial</t>
  </si>
  <si>
    <t xml:space="preserve">Sobra si solo se publican imágenes de contenedor</t>
  </si>
  <si>
    <t xml:space="preserve">Respaldo de datos cifrados · almacenamiento</t>
  </si>
  <si>
    <t xml:space="preserve">MinIO</t>
  </si>
  <si>
    <t xml:space="preserve">Almacenamiento de objetos autoalojado, compatible con S3</t>
  </si>
  <si>
    <t xml:space="preserve">AGPL v3 / comercial</t>
  </si>
  <si>
    <t xml:space="preserve">Compatible con S3 sin atarse a AWS: cumple ESC-16. Revisar la licencia AGPL antes de redistribuir</t>
  </si>
  <si>
    <t xml:space="preserve">Amazon S3 · Backblaze B2 · Wasabi</t>
  </si>
  <si>
    <t xml:space="preserve">Almacenamiento de objetos gestionado</t>
  </si>
  <si>
    <t xml:space="preserve">Comercial, por GB almacenado</t>
  </si>
  <si>
    <t xml:space="preserve">Compatible con CN-28 porque el archivo llega ya cifrado con la llave del cliente: el proveedor custodia algo que no puede leer</t>
  </si>
  <si>
    <t xml:space="preserve">Disco en un servidor propio</t>
  </si>
  <si>
    <t xml:space="preserve">Costo del servidor</t>
  </si>
  <si>
    <t xml:space="preserve">Nube o local</t>
  </si>
  <si>
    <t xml:space="preserve">Más barato a poca escala. Sin durabilidad garantizada, y CN-15 exige pérdida CERO</t>
  </si>
  <si>
    <t xml:space="preserve">Servicio de IA analítica</t>
  </si>
  <si>
    <t xml:space="preserve">Ollama + modelo abierto (Llama · Mistral · Qwen)</t>
  </si>
  <si>
    <t xml:space="preserve">Runtime de inferencia local + pesos del modelo</t>
  </si>
  <si>
    <t xml:space="preserve">MIT el runtime; los pesos varían por modelo</t>
  </si>
  <si>
    <t xml:space="preserve">Servidor de la FINCA o nodo con GPU</t>
  </si>
  <si>
    <t xml:space="preserve">Alta y en movimiento rápido</t>
  </si>
  <si>
    <t xml:space="preserve">Resuelve LAS DOS contradicciones a la vez: no saca datos de la finca y no hace que la consulta dependa de internet. Precio: hardware, y encarece la instalación</t>
  </si>
  <si>
    <t xml:space="preserve">llama.cpp · vLLM</t>
  </si>
  <si>
    <t xml:space="preserve">Motores de inferencia</t>
  </si>
  <si>
    <t xml:space="preserve">Servidor de finca o nube</t>
  </si>
  <si>
    <t xml:space="preserve">llama.cpp corre en CPU y evita comprar GPU. Más lento, pero para consultas analíticas puede bastar</t>
  </si>
  <si>
    <t xml:space="preserve">OpenAI · Anthropic · Gemini (API)</t>
  </si>
  <si>
    <t xml:space="preserve">Servicio gestionado de modelos</t>
  </si>
  <si>
    <t xml:space="preserve">Comercial, por token</t>
  </si>
  <si>
    <t xml:space="preserve">Exige mandar información de producción fuera de la finca en claro. Choca con CN-28, con CN-03 y con la custodia opaca de N4. Y haría depender la consulta de internet</t>
  </si>
  <si>
    <t xml:space="preserve">Modelo pequeño en el propio dispositivo</t>
  </si>
  <si>
    <t xml:space="preserve">Pesos embebidos en la app</t>
  </si>
  <si>
    <t xml:space="preserve">Dispositivo Android</t>
  </si>
  <si>
    <t xml:space="preserve">Media. Los modelos pequeños son limitados</t>
  </si>
  <si>
    <t xml:space="preserve">Aplica al asistente de captura de C2, no a la IA analítica. Es la otra mitad de la decisión 5</t>
  </si>
  <si>
    <t xml:space="preserve">Candidatas fuertes</t>
  </si>
  <si>
    <t xml:space="preserve">Candidatas</t>
  </si>
  <si>
    <t xml:space="preserve">Descartadas</t>
  </si>
  <si>
    <t xml:space="preserve">Total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</si>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</sst>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8.55" hidden="false" customHeight="false" outlineLevel="0" collapsed="false">
      <c r="A1" s="1"/>
    </row>
    <row r="3" customFormat="false" ht="15" hidden="false" customHeight="false" outlineLevel="0" collapsed="false">
      <c r="A3" s="2" t="s">
        <v>0</v>
      </c>
      <c r="B3" s="3" t="s">
        <v>1</v>
      </c>
    </row>
    <row r="4" customFormat="false" ht="23.85" hidden="false" customHeight="false" outlineLevel="0" collapsed="false">
      <c r="A4" s="2" t="s">
        <v>2</v>
      </c>
      <c r="B4" s="3" t="s">
        <v>3</v>
      </c>
    </row>
    <row r="5" customFormat="false" ht="15" hidden="false" customHeight="false" outlineLevel="0" collapsed="false">
      <c r="A5" s="2" t="s">
        <v>4</v>
      </c>
      <c r="B5" s="3" t="s">
        <v>5</v>
      </c>
    </row>
    <row r="6" customFormat="false" ht="23.85" hidden="false" customHeight="false" outlineLevel="0" collapsed="false">
      <c r="A6" s="2" t="s">
        <v>6</v>
      </c>
      <c r="B6" s="3" t="s">
        <v>7</v>
      </c>
    </row>
    <row r="8" customFormat="false" ht="23.85" hidden="false" customHeight="false" outlineLevel="0" collapsed="false">
      <c r="A8" s="4" t="s">
        <v>8</v>
      </c>
    </row>
    <row r="9" customFormat="false" ht="15" hidden="false" customHeight="false" outlineLevel="0" collapsed="false">
      <c r="A9" s="2" t="s">
        <v>9</v>
      </c>
      <c r="B9" s="5" t="s">
        <v>10</v>
      </c>
    </row>
    <row r="10" customFormat="false" ht="15" hidden="false" customHeight="false" outlineLevel="0" collapsed="false">
      <c r="A10" s="2" t="s">
        <v>11</v>
      </c>
      <c r="B10" s="6" t="s">
        <v>12</v>
      </c>
    </row>
    <row r="11" customFormat="false" ht="15" hidden="false" customHeight="false" outlineLevel="0" collapsed="false">
      <c r="A11" s="2" t="s">
        <v>13</v>
      </c>
      <c r="B11" s="7" t="s">
        <v>14</v>
      </c>
    </row>
    <row r="13" customFormat="false" ht="23.85" hidden="false" customHeight="false" outlineLevel="0" collapsed="false">
      <c r="A13" s="4" t="s">
        <v>15</v>
      </c>
    </row>
    <row r="14" customFormat="false" ht="15" hidden="false" customHeight="false" outlineLevel="0" collapsed="false">
      <c r="A14" s="2" t="s">
        <v>16</v>
      </c>
      <c r="B14" s="3" t="s">
        <v>17</v>
      </c>
    </row>
    <row r="15" customFormat="false" ht="15" hidden="false" customHeight="false" outlineLevel="0" collapsed="false">
      <c r="A15" s="2" t="s">
        <v>18</v>
      </c>
      <c r="B15" s="3" t="s">
        <v>19</v>
      </c>
    </row>
    <row r="16" customFormat="false" ht="15" hidden="false" customHeight="false" outlineLevel="0" collapsed="false">
      <c r="A16" s="2" t="s">
        <v>20</v>
      </c>
      <c r="B16" s="3" t="s">
        <v>21</v>
      </c>
    </row>
    <row r="17" customFormat="false" ht="15" hidden="false" customHeight="false" outlineLevel="0" collapsed="false">
      <c r="A17" s="2" t="s">
        <v>22</v>
      </c>
      <c r="B17" s="3" t="s">
        <v>23</v>
      </c>
    </row>
    <row r="19" customFormat="false" ht="23.85" hidden="false" customHeight="false" outlineLevel="0" collapsed="false">
      <c r="A19" s="2" t="s">
        <v>24</v>
      </c>
      <c r="B19" s="3" t="s">
        <v>25</v>
      </c>
    </row>
    <row r="21" customFormat="false" ht="23.85" hidden="false" customHeight="false" outlineLevel="0" collapsed="false">
      <c r="A21" s="2" t="s">
        <v>26</v>
      </c>
      <c r="B21" s="3" t="s">
        <v>27</v>
      </c>
    </row>
  </sheetData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7" min="3" style="0" width="30"/>
    <col collapsed="false" customWidth="true" hidden="false" outlineLevel="0" max="8" min="8" style="0" width="16"/>
    <col collapsed="false" customWidth="true" hidden="false" outlineLevel="0" max="9" min="9" style="0" width="56"/>
  </cols>
  <sheetData>
    <row r="1" customFormat="false" ht="33.75" hidden="false" customHeight="true" outlineLevel="0" collapsed="false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</row>
    <row r="2" customFormat="false" ht="43.5" hidden="false" customHeight="true" outlineLevel="0" collapsed="false">
      <c r="A2" s="9" t="s">
        <v>37</v>
      </c>
      <c r="B2" s="9" t="s">
        <v>38</v>
      </c>
      <c r="C2" s="10" t="s">
        <v>39</v>
      </c>
      <c r="D2" s="9" t="s">
        <v>40</v>
      </c>
      <c r="E2" s="9" t="s">
        <v>41</v>
      </c>
      <c r="F2" s="9" t="s">
        <v>42</v>
      </c>
      <c r="G2" s="9" t="s">
        <v>43</v>
      </c>
      <c r="H2" s="11" t="s">
        <v>44</v>
      </c>
      <c r="I2" s="9" t="s">
        <v>45</v>
      </c>
    </row>
    <row r="3" customFormat="false" ht="30.75" hidden="false" customHeight="true" outlineLevel="0" collapsed="false">
      <c r="A3" s="9" t="s">
        <v>37</v>
      </c>
      <c r="B3" s="9" t="s">
        <v>38</v>
      </c>
      <c r="C3" s="10" t="s">
        <v>46</v>
      </c>
      <c r="D3" s="9" t="s">
        <v>47</v>
      </c>
      <c r="E3" s="9" t="s">
        <v>48</v>
      </c>
      <c r="F3" s="9" t="s">
        <v>49</v>
      </c>
      <c r="G3" s="9" t="s">
        <v>50</v>
      </c>
      <c r="H3" s="12" t="s">
        <v>11</v>
      </c>
      <c r="I3" s="9" t="s">
        <v>51</v>
      </c>
    </row>
    <row r="4" customFormat="false" ht="56.25" hidden="false" customHeight="true" outlineLevel="0" collapsed="false">
      <c r="A4" s="9" t="s">
        <v>37</v>
      </c>
      <c r="B4" s="13" t="s">
        <v>38</v>
      </c>
      <c r="C4" s="14" t="s">
        <v>52</v>
      </c>
      <c r="D4" s="9" t="s">
        <v>53</v>
      </c>
      <c r="E4" s="9" t="s">
        <v>54</v>
      </c>
      <c r="F4" s="9" t="s">
        <v>55</v>
      </c>
      <c r="G4" s="9" t="s">
        <v>56</v>
      </c>
      <c r="H4" s="15" t="s">
        <v>13</v>
      </c>
      <c r="I4" s="9" t="s">
        <v>57</v>
      </c>
    </row>
    <row r="5" customFormat="false" ht="56.25" hidden="false" customHeight="true" outlineLevel="0" collapsed="false">
      <c r="A5" s="9" t="s">
        <v>37</v>
      </c>
      <c r="B5" s="9" t="s">
        <v>58</v>
      </c>
      <c r="C5" s="10" t="s">
        <v>59</v>
      </c>
      <c r="D5" s="9" t="s">
        <v>60</v>
      </c>
      <c r="E5" s="9" t="s">
        <v>61</v>
      </c>
      <c r="F5" s="9" t="s">
        <v>62</v>
      </c>
      <c r="G5" s="9" t="s">
        <v>63</v>
      </c>
      <c r="H5" s="11" t="s">
        <v>44</v>
      </c>
      <c r="I5" s="9" t="s">
        <v>64</v>
      </c>
    </row>
    <row r="6" customFormat="false" ht="56.25" hidden="false" customHeight="true" outlineLevel="0" collapsed="false">
      <c r="A6" s="9" t="s">
        <v>37</v>
      </c>
      <c r="B6" s="9" t="s">
        <v>58</v>
      </c>
      <c r="C6" s="10" t="s">
        <v>65</v>
      </c>
      <c r="D6" s="9" t="s">
        <v>66</v>
      </c>
      <c r="E6" s="9" t="s">
        <v>67</v>
      </c>
      <c r="F6" s="9" t="s">
        <v>68</v>
      </c>
      <c r="G6" s="9" t="s">
        <v>69</v>
      </c>
      <c r="H6" s="11" t="s">
        <v>44</v>
      </c>
      <c r="I6" s="9" t="s">
        <v>70</v>
      </c>
    </row>
    <row r="7" customFormat="false" ht="43.5" hidden="false" customHeight="true" outlineLevel="0" collapsed="false">
      <c r="A7" s="9" t="s">
        <v>37</v>
      </c>
      <c r="B7" s="9" t="s">
        <v>58</v>
      </c>
      <c r="C7" s="10" t="s">
        <v>71</v>
      </c>
      <c r="D7" s="9" t="s">
        <v>72</v>
      </c>
      <c r="E7" s="9" t="s">
        <v>73</v>
      </c>
      <c r="F7" s="9" t="s">
        <v>68</v>
      </c>
      <c r="G7" s="9" t="s">
        <v>74</v>
      </c>
      <c r="H7" s="11" t="s">
        <v>44</v>
      </c>
      <c r="I7" s="9" t="s">
        <v>75</v>
      </c>
    </row>
    <row r="8" customFormat="false" ht="43.5" hidden="false" customHeight="true" outlineLevel="0" collapsed="false">
      <c r="A8" s="9" t="s">
        <v>37</v>
      </c>
      <c r="B8" s="9" t="s">
        <v>58</v>
      </c>
      <c r="C8" s="10" t="s">
        <v>76</v>
      </c>
      <c r="D8" s="9" t="s">
        <v>77</v>
      </c>
      <c r="E8" s="9" t="s">
        <v>78</v>
      </c>
      <c r="F8" s="9" t="s">
        <v>79</v>
      </c>
      <c r="G8" s="9" t="s">
        <v>80</v>
      </c>
      <c r="H8" s="12" t="s">
        <v>11</v>
      </c>
      <c r="I8" s="9" t="s">
        <v>81</v>
      </c>
    </row>
    <row r="9" customFormat="false" ht="43.5" hidden="false" customHeight="true" outlineLevel="0" collapsed="false">
      <c r="A9" s="9" t="s">
        <v>37</v>
      </c>
      <c r="B9" s="9" t="s">
        <v>58</v>
      </c>
      <c r="C9" s="10" t="s">
        <v>82</v>
      </c>
      <c r="D9" s="9" t="s">
        <v>83</v>
      </c>
      <c r="E9" s="9" t="s">
        <v>78</v>
      </c>
      <c r="F9" s="9" t="s">
        <v>84</v>
      </c>
      <c r="G9" s="9" t="s">
        <v>85</v>
      </c>
      <c r="H9" s="12" t="s">
        <v>11</v>
      </c>
      <c r="I9" s="9" t="s">
        <v>86</v>
      </c>
    </row>
    <row r="10" customFormat="false" ht="43.5" hidden="false" customHeight="true" outlineLevel="0" collapsed="false">
      <c r="A10" s="9" t="s">
        <v>37</v>
      </c>
      <c r="B10" s="13" t="s">
        <v>58</v>
      </c>
      <c r="C10" s="14" t="s">
        <v>87</v>
      </c>
      <c r="D10" s="9" t="s">
        <v>88</v>
      </c>
      <c r="E10" s="9" t="s">
        <v>78</v>
      </c>
      <c r="F10" s="9" t="s">
        <v>89</v>
      </c>
      <c r="G10" s="9" t="s">
        <v>90</v>
      </c>
      <c r="H10" s="15" t="s">
        <v>13</v>
      </c>
      <c r="I10" s="9" t="s">
        <v>91</v>
      </c>
    </row>
    <row r="11" customFormat="false" ht="56.25" hidden="false" customHeight="true" outlineLevel="0" collapsed="false">
      <c r="A11" s="9" t="s">
        <v>37</v>
      </c>
      <c r="B11" s="9" t="s">
        <v>92</v>
      </c>
      <c r="C11" s="10" t="s">
        <v>93</v>
      </c>
      <c r="D11" s="9" t="s">
        <v>94</v>
      </c>
      <c r="E11" s="9" t="s">
        <v>48</v>
      </c>
      <c r="F11" s="9" t="s">
        <v>95</v>
      </c>
      <c r="G11" s="9" t="s">
        <v>96</v>
      </c>
      <c r="H11" s="11" t="s">
        <v>44</v>
      </c>
      <c r="I11" s="9" t="s">
        <v>97</v>
      </c>
    </row>
    <row r="12" customFormat="false" ht="43.5" hidden="false" customHeight="true" outlineLevel="0" collapsed="false">
      <c r="A12" s="9" t="s">
        <v>37</v>
      </c>
      <c r="B12" s="9" t="s">
        <v>92</v>
      </c>
      <c r="C12" s="10" t="s">
        <v>98</v>
      </c>
      <c r="D12" s="9" t="s">
        <v>99</v>
      </c>
      <c r="E12" s="9" t="s">
        <v>100</v>
      </c>
      <c r="F12" s="9" t="s">
        <v>101</v>
      </c>
      <c r="G12" s="9" t="s">
        <v>102</v>
      </c>
      <c r="H12" s="12" t="s">
        <v>11</v>
      </c>
      <c r="I12" s="9" t="s">
        <v>103</v>
      </c>
    </row>
    <row r="13" customFormat="false" ht="43.5" hidden="false" customHeight="true" outlineLevel="0" collapsed="false">
      <c r="A13" s="9" t="s">
        <v>37</v>
      </c>
      <c r="B13" s="9" t="s">
        <v>104</v>
      </c>
      <c r="C13" s="10" t="s">
        <v>105</v>
      </c>
      <c r="D13" s="9" t="s">
        <v>106</v>
      </c>
      <c r="E13" s="9" t="s">
        <v>48</v>
      </c>
      <c r="F13" s="9" t="s">
        <v>107</v>
      </c>
      <c r="G13" s="9" t="s">
        <v>108</v>
      </c>
      <c r="H13" s="12" t="s">
        <v>11</v>
      </c>
      <c r="I13" s="9" t="s">
        <v>109</v>
      </c>
    </row>
    <row r="14" customFormat="false" ht="43.5" hidden="false" customHeight="true" outlineLevel="0" collapsed="false">
      <c r="A14" s="9" t="s">
        <v>37</v>
      </c>
      <c r="B14" s="9" t="s">
        <v>104</v>
      </c>
      <c r="C14" s="10" t="s">
        <v>110</v>
      </c>
      <c r="D14" s="9" t="s">
        <v>111</v>
      </c>
      <c r="E14" s="9" t="s">
        <v>112</v>
      </c>
      <c r="F14" s="9" t="s">
        <v>113</v>
      </c>
      <c r="G14" s="9" t="s">
        <v>114</v>
      </c>
      <c r="H14" s="11" t="s">
        <v>44</v>
      </c>
      <c r="I14" s="9" t="s">
        <v>115</v>
      </c>
    </row>
    <row r="15" customFormat="false" ht="43.5" hidden="false" customHeight="true" outlineLevel="0" collapsed="false">
      <c r="A15" s="9" t="s">
        <v>37</v>
      </c>
      <c r="B15" s="9" t="s">
        <v>116</v>
      </c>
      <c r="C15" s="10" t="s">
        <v>39</v>
      </c>
      <c r="D15" s="9" t="s">
        <v>117</v>
      </c>
      <c r="E15" s="9" t="s">
        <v>118</v>
      </c>
      <c r="F15" s="9" t="s">
        <v>42</v>
      </c>
      <c r="G15" s="9" t="s">
        <v>119</v>
      </c>
      <c r="H15" s="11" t="s">
        <v>44</v>
      </c>
      <c r="I15" s="9" t="s">
        <v>120</v>
      </c>
    </row>
    <row r="16" customFormat="false" ht="43.5" hidden="false" customHeight="true" outlineLevel="0" collapsed="false">
      <c r="A16" s="9" t="s">
        <v>37</v>
      </c>
      <c r="B16" s="9" t="s">
        <v>116</v>
      </c>
      <c r="C16" s="10" t="s">
        <v>46</v>
      </c>
      <c r="D16" s="9" t="s">
        <v>47</v>
      </c>
      <c r="E16" s="9" t="s">
        <v>48</v>
      </c>
      <c r="F16" s="9" t="s">
        <v>121</v>
      </c>
      <c r="G16" s="9" t="s">
        <v>122</v>
      </c>
      <c r="H16" s="12" t="s">
        <v>11</v>
      </c>
      <c r="I16" s="9" t="s">
        <v>123</v>
      </c>
    </row>
    <row r="17" customFormat="false" ht="43.5" hidden="false" customHeight="true" outlineLevel="0" collapsed="false">
      <c r="A17" s="9" t="s">
        <v>37</v>
      </c>
      <c r="B17" s="9" t="s">
        <v>116</v>
      </c>
      <c r="C17" s="10" t="s">
        <v>124</v>
      </c>
      <c r="D17" s="9" t="s">
        <v>125</v>
      </c>
      <c r="E17" s="9" t="s">
        <v>48</v>
      </c>
      <c r="F17" s="9" t="s">
        <v>126</v>
      </c>
      <c r="G17" s="9" t="s">
        <v>127</v>
      </c>
      <c r="H17" s="12" t="s">
        <v>11</v>
      </c>
      <c r="I17" s="9" t="s">
        <v>128</v>
      </c>
    </row>
    <row r="18" customFormat="false" ht="56.25" hidden="false" customHeight="true" outlineLevel="0" collapsed="false">
      <c r="A18" s="9" t="s">
        <v>37</v>
      </c>
      <c r="B18" s="9" t="s">
        <v>129</v>
      </c>
      <c r="C18" s="10" t="s">
        <v>130</v>
      </c>
      <c r="D18" s="9" t="s">
        <v>131</v>
      </c>
      <c r="E18" s="9" t="s">
        <v>48</v>
      </c>
      <c r="F18" s="9" t="s">
        <v>132</v>
      </c>
      <c r="G18" s="9" t="s">
        <v>133</v>
      </c>
      <c r="H18" s="11" t="s">
        <v>44</v>
      </c>
      <c r="I18" s="9" t="s">
        <v>134</v>
      </c>
    </row>
    <row r="19" customFormat="false" ht="43.5" hidden="false" customHeight="true" outlineLevel="0" collapsed="false">
      <c r="A19" s="9" t="s">
        <v>37</v>
      </c>
      <c r="B19" s="9" t="s">
        <v>129</v>
      </c>
      <c r="C19" s="10" t="s">
        <v>135</v>
      </c>
      <c r="D19" s="9" t="s">
        <v>136</v>
      </c>
      <c r="E19" s="9" t="s">
        <v>78</v>
      </c>
      <c r="F19" s="9" t="s">
        <v>137</v>
      </c>
      <c r="G19" s="9" t="s">
        <v>138</v>
      </c>
      <c r="H19" s="12" t="s">
        <v>11</v>
      </c>
      <c r="I19" s="9" t="s">
        <v>139</v>
      </c>
    </row>
    <row r="20" customFormat="false" ht="43.5" hidden="false" customHeight="true" outlineLevel="0" collapsed="false">
      <c r="A20" s="9" t="s">
        <v>37</v>
      </c>
      <c r="B20" s="9" t="s">
        <v>129</v>
      </c>
      <c r="C20" s="10" t="s">
        <v>140</v>
      </c>
      <c r="D20" s="9" t="s">
        <v>141</v>
      </c>
      <c r="E20" s="9" t="s">
        <v>73</v>
      </c>
      <c r="F20" s="9" t="s">
        <v>142</v>
      </c>
      <c r="G20" s="9" t="s">
        <v>143</v>
      </c>
      <c r="H20" s="12" t="s">
        <v>11</v>
      </c>
      <c r="I20" s="9" t="s">
        <v>144</v>
      </c>
    </row>
    <row r="21" customFormat="false" ht="43.5" hidden="false" customHeight="true" outlineLevel="0" collapsed="false">
      <c r="A21" s="9" t="s">
        <v>37</v>
      </c>
      <c r="B21" s="13" t="s">
        <v>129</v>
      </c>
      <c r="C21" s="14" t="s">
        <v>145</v>
      </c>
      <c r="D21" s="9" t="s">
        <v>146</v>
      </c>
      <c r="E21" s="9" t="s">
        <v>73</v>
      </c>
      <c r="F21" s="9" t="s">
        <v>147</v>
      </c>
      <c r="G21" s="9" t="s">
        <v>148</v>
      </c>
      <c r="H21" s="15" t="s">
        <v>13</v>
      </c>
      <c r="I21" s="9" t="s">
        <v>149</v>
      </c>
    </row>
    <row r="22" customFormat="false" ht="43.5" hidden="false" customHeight="true" outlineLevel="0" collapsed="false">
      <c r="A22" s="9" t="s">
        <v>37</v>
      </c>
      <c r="B22" s="9" t="s">
        <v>150</v>
      </c>
      <c r="C22" s="10" t="s">
        <v>151</v>
      </c>
      <c r="D22" s="9" t="s">
        <v>152</v>
      </c>
      <c r="E22" s="9" t="s">
        <v>48</v>
      </c>
      <c r="F22" s="9" t="s">
        <v>153</v>
      </c>
      <c r="G22" s="9" t="s">
        <v>154</v>
      </c>
      <c r="H22" s="11" t="s">
        <v>44</v>
      </c>
      <c r="I22" s="9" t="s">
        <v>155</v>
      </c>
    </row>
    <row r="23" customFormat="false" ht="43.5" hidden="false" customHeight="true" outlineLevel="0" collapsed="false">
      <c r="A23" s="9" t="s">
        <v>37</v>
      </c>
      <c r="B23" s="9" t="s">
        <v>150</v>
      </c>
      <c r="C23" s="10" t="s">
        <v>156</v>
      </c>
      <c r="D23" s="9" t="s">
        <v>157</v>
      </c>
      <c r="E23" s="9" t="s">
        <v>48</v>
      </c>
      <c r="F23" s="9" t="s">
        <v>107</v>
      </c>
      <c r="G23" s="9" t="s">
        <v>158</v>
      </c>
      <c r="H23" s="12" t="s">
        <v>11</v>
      </c>
      <c r="I23" s="9" t="s">
        <v>159</v>
      </c>
    </row>
    <row r="24" customFormat="false" ht="43.5" hidden="false" customHeight="true" outlineLevel="0" collapsed="false">
      <c r="A24" s="9" t="s">
        <v>37</v>
      </c>
      <c r="B24" s="9" t="s">
        <v>160</v>
      </c>
      <c r="C24" s="10" t="s">
        <v>161</v>
      </c>
      <c r="D24" s="9" t="s">
        <v>162</v>
      </c>
      <c r="E24" s="9" t="s">
        <v>48</v>
      </c>
      <c r="F24" s="9" t="s">
        <v>163</v>
      </c>
      <c r="G24" s="9" t="s">
        <v>164</v>
      </c>
      <c r="H24" s="11" t="s">
        <v>44</v>
      </c>
      <c r="I24" s="9" t="s">
        <v>165</v>
      </c>
    </row>
    <row r="25" customFormat="false" ht="43.5" hidden="false" customHeight="true" outlineLevel="0" collapsed="false">
      <c r="A25" s="9" t="s">
        <v>37</v>
      </c>
      <c r="B25" s="9" t="s">
        <v>160</v>
      </c>
      <c r="C25" s="10" t="s">
        <v>166</v>
      </c>
      <c r="D25" s="9" t="s">
        <v>167</v>
      </c>
      <c r="E25" s="9" t="s">
        <v>73</v>
      </c>
      <c r="F25" s="9" t="s">
        <v>168</v>
      </c>
      <c r="G25" s="9" t="s">
        <v>169</v>
      </c>
      <c r="H25" s="12" t="s">
        <v>11</v>
      </c>
      <c r="I25" s="9" t="s">
        <v>170</v>
      </c>
    </row>
    <row r="26" customFormat="false" ht="43.5" hidden="false" customHeight="true" outlineLevel="0" collapsed="false">
      <c r="A26" s="9" t="s">
        <v>37</v>
      </c>
      <c r="B26" s="9" t="s">
        <v>160</v>
      </c>
      <c r="C26" s="10" t="s">
        <v>171</v>
      </c>
      <c r="D26" s="9" t="s">
        <v>172</v>
      </c>
      <c r="E26" s="9" t="s">
        <v>173</v>
      </c>
      <c r="F26" s="9" t="s">
        <v>174</v>
      </c>
      <c r="G26" s="9" t="s">
        <v>175</v>
      </c>
      <c r="H26" s="12" t="s">
        <v>11</v>
      </c>
      <c r="I26" s="9" t="s">
        <v>176</v>
      </c>
    </row>
    <row r="27" customFormat="false" ht="43.5" hidden="false" customHeight="true" outlineLevel="0" collapsed="false">
      <c r="A27" s="9" t="s">
        <v>37</v>
      </c>
      <c r="B27" s="9" t="s">
        <v>160</v>
      </c>
      <c r="C27" s="10" t="s">
        <v>177</v>
      </c>
      <c r="D27" s="9" t="s">
        <v>178</v>
      </c>
      <c r="E27" s="9" t="s">
        <v>179</v>
      </c>
      <c r="F27" s="9" t="s">
        <v>180</v>
      </c>
      <c r="G27" s="9" t="s">
        <v>181</v>
      </c>
      <c r="H27" s="12" t="s">
        <v>11</v>
      </c>
      <c r="I27" s="9" t="s">
        <v>182</v>
      </c>
    </row>
    <row r="28" customFormat="false" ht="43.5" hidden="false" customHeight="true" outlineLevel="0" collapsed="false">
      <c r="A28" s="9" t="s">
        <v>37</v>
      </c>
      <c r="B28" s="13" t="s">
        <v>160</v>
      </c>
      <c r="C28" s="14" t="s">
        <v>183</v>
      </c>
      <c r="D28" s="9" t="s">
        <v>184</v>
      </c>
      <c r="E28" s="9" t="s">
        <v>185</v>
      </c>
      <c r="F28" s="9" t="s">
        <v>186</v>
      </c>
      <c r="G28" s="9" t="s">
        <v>187</v>
      </c>
      <c r="H28" s="15" t="s">
        <v>13</v>
      </c>
      <c r="I28" s="9" t="s">
        <v>188</v>
      </c>
    </row>
    <row r="29" customFormat="false" ht="56.25" hidden="false" customHeight="true" outlineLevel="0" collapsed="false">
      <c r="A29" s="9" t="s">
        <v>37</v>
      </c>
      <c r="B29" s="9" t="s">
        <v>189</v>
      </c>
      <c r="C29" s="10" t="s">
        <v>190</v>
      </c>
      <c r="D29" s="9" t="s">
        <v>191</v>
      </c>
      <c r="E29" s="9" t="s">
        <v>192</v>
      </c>
      <c r="F29" s="9" t="s">
        <v>193</v>
      </c>
      <c r="G29" s="9" t="s">
        <v>194</v>
      </c>
      <c r="H29" s="11" t="s">
        <v>44</v>
      </c>
      <c r="I29" s="9" t="s">
        <v>195</v>
      </c>
    </row>
    <row r="30" customFormat="false" ht="43.5" hidden="false" customHeight="true" outlineLevel="0" collapsed="false">
      <c r="A30" s="9" t="s">
        <v>37</v>
      </c>
      <c r="B30" s="13" t="s">
        <v>189</v>
      </c>
      <c r="C30" s="14" t="s">
        <v>196</v>
      </c>
      <c r="D30" s="9" t="s">
        <v>197</v>
      </c>
      <c r="E30" s="9" t="s">
        <v>198</v>
      </c>
      <c r="F30" s="9" t="s">
        <v>199</v>
      </c>
      <c r="G30" s="9" t="s">
        <v>200</v>
      </c>
      <c r="H30" s="15" t="s">
        <v>13</v>
      </c>
      <c r="I30" s="9" t="s">
        <v>201</v>
      </c>
    </row>
    <row r="31" customFormat="false" ht="43.5" hidden="false" customHeight="true" outlineLevel="0" collapsed="false">
      <c r="A31" s="9" t="s">
        <v>202</v>
      </c>
      <c r="B31" s="9" t="s">
        <v>203</v>
      </c>
      <c r="C31" s="10" t="s">
        <v>204</v>
      </c>
      <c r="D31" s="9" t="s">
        <v>205</v>
      </c>
      <c r="E31" s="9" t="s">
        <v>206</v>
      </c>
      <c r="F31" s="9" t="s">
        <v>207</v>
      </c>
      <c r="G31" s="9" t="s">
        <v>208</v>
      </c>
      <c r="H31" s="11" t="s">
        <v>44</v>
      </c>
      <c r="I31" s="9" t="s">
        <v>209</v>
      </c>
    </row>
    <row r="32" customFormat="false" ht="43.5" hidden="false" customHeight="true" outlineLevel="0" collapsed="false">
      <c r="A32" s="9" t="s">
        <v>202</v>
      </c>
      <c r="B32" s="9" t="s">
        <v>203</v>
      </c>
      <c r="C32" s="10" t="s">
        <v>210</v>
      </c>
      <c r="D32" s="9" t="s">
        <v>211</v>
      </c>
      <c r="E32" s="9" t="s">
        <v>73</v>
      </c>
      <c r="F32" s="9" t="s">
        <v>212</v>
      </c>
      <c r="G32" s="9" t="s">
        <v>213</v>
      </c>
      <c r="H32" s="11" t="s">
        <v>44</v>
      </c>
      <c r="I32" s="9" t="s">
        <v>214</v>
      </c>
    </row>
    <row r="33" customFormat="false" ht="30.75" hidden="false" customHeight="true" outlineLevel="0" collapsed="false">
      <c r="A33" s="9" t="s">
        <v>202</v>
      </c>
      <c r="B33" s="9" t="s">
        <v>203</v>
      </c>
      <c r="C33" s="10" t="s">
        <v>215</v>
      </c>
      <c r="D33" s="9" t="s">
        <v>216</v>
      </c>
      <c r="E33" s="9" t="s">
        <v>78</v>
      </c>
      <c r="F33" s="9" t="s">
        <v>217</v>
      </c>
      <c r="G33" s="9" t="s">
        <v>56</v>
      </c>
      <c r="H33" s="12" t="s">
        <v>11</v>
      </c>
      <c r="I33" s="9" t="s">
        <v>218</v>
      </c>
    </row>
    <row r="34" customFormat="false" ht="30.75" hidden="false" customHeight="true" outlineLevel="0" collapsed="false">
      <c r="A34" s="9" t="s">
        <v>202</v>
      </c>
      <c r="B34" s="9" t="s">
        <v>203</v>
      </c>
      <c r="C34" s="10" t="s">
        <v>219</v>
      </c>
      <c r="D34" s="9" t="s">
        <v>220</v>
      </c>
      <c r="E34" s="9" t="s">
        <v>221</v>
      </c>
      <c r="F34" s="9" t="s">
        <v>222</v>
      </c>
      <c r="G34" s="9" t="s">
        <v>223</v>
      </c>
      <c r="H34" s="12" t="s">
        <v>11</v>
      </c>
      <c r="I34" s="9" t="s">
        <v>224</v>
      </c>
    </row>
    <row r="35" customFormat="false" ht="43.5" hidden="false" customHeight="true" outlineLevel="0" collapsed="false">
      <c r="A35" s="9" t="s">
        <v>202</v>
      </c>
      <c r="B35" s="13" t="s">
        <v>203</v>
      </c>
      <c r="C35" s="14" t="s">
        <v>225</v>
      </c>
      <c r="D35" s="9" t="s">
        <v>226</v>
      </c>
      <c r="E35" s="9" t="s">
        <v>227</v>
      </c>
      <c r="F35" s="9" t="s">
        <v>228</v>
      </c>
      <c r="G35" s="9" t="s">
        <v>187</v>
      </c>
      <c r="H35" s="15" t="s">
        <v>13</v>
      </c>
      <c r="I35" s="9" t="s">
        <v>229</v>
      </c>
    </row>
    <row r="36" customFormat="false" ht="43.5" hidden="false" customHeight="true" outlineLevel="0" collapsed="false">
      <c r="A36" s="9" t="s">
        <v>202</v>
      </c>
      <c r="B36" s="9" t="s">
        <v>230</v>
      </c>
      <c r="C36" s="10" t="s">
        <v>231</v>
      </c>
      <c r="D36" s="9" t="s">
        <v>232</v>
      </c>
      <c r="E36" s="9" t="s">
        <v>48</v>
      </c>
      <c r="F36" s="9" t="s">
        <v>233</v>
      </c>
      <c r="G36" s="9" t="s">
        <v>234</v>
      </c>
      <c r="H36" s="11" t="s">
        <v>44</v>
      </c>
      <c r="I36" s="9" t="s">
        <v>235</v>
      </c>
    </row>
    <row r="37" customFormat="false" ht="30.75" hidden="false" customHeight="true" outlineLevel="0" collapsed="false">
      <c r="A37" s="9" t="s">
        <v>202</v>
      </c>
      <c r="B37" s="9" t="s">
        <v>230</v>
      </c>
      <c r="C37" s="10" t="s">
        <v>236</v>
      </c>
      <c r="D37" s="9" t="s">
        <v>237</v>
      </c>
      <c r="E37" s="9" t="s">
        <v>48</v>
      </c>
      <c r="F37" s="9" t="s">
        <v>238</v>
      </c>
      <c r="G37" s="9" t="s">
        <v>239</v>
      </c>
      <c r="H37" s="12" t="s">
        <v>11</v>
      </c>
      <c r="I37" s="9" t="s">
        <v>240</v>
      </c>
    </row>
    <row r="38" customFormat="false" ht="43.5" hidden="false" customHeight="true" outlineLevel="0" collapsed="false">
      <c r="A38" s="9" t="s">
        <v>202</v>
      </c>
      <c r="B38" s="9" t="s">
        <v>241</v>
      </c>
      <c r="C38" s="10" t="s">
        <v>242</v>
      </c>
      <c r="D38" s="9" t="s">
        <v>243</v>
      </c>
      <c r="E38" s="9" t="s">
        <v>244</v>
      </c>
      <c r="F38" s="9" t="s">
        <v>207</v>
      </c>
      <c r="G38" s="9" t="s">
        <v>245</v>
      </c>
      <c r="H38" s="11" t="s">
        <v>44</v>
      </c>
      <c r="I38" s="9" t="s">
        <v>246</v>
      </c>
    </row>
    <row r="39" customFormat="false" ht="43.5" hidden="false" customHeight="true" outlineLevel="0" collapsed="false">
      <c r="A39" s="9" t="s">
        <v>202</v>
      </c>
      <c r="B39" s="9" t="s">
        <v>241</v>
      </c>
      <c r="C39" s="10" t="s">
        <v>247</v>
      </c>
      <c r="D39" s="9" t="s">
        <v>243</v>
      </c>
      <c r="E39" s="9" t="s">
        <v>248</v>
      </c>
      <c r="F39" s="9" t="s">
        <v>249</v>
      </c>
      <c r="G39" s="9" t="s">
        <v>250</v>
      </c>
      <c r="H39" s="12" t="s">
        <v>11</v>
      </c>
      <c r="I39" s="9" t="s">
        <v>251</v>
      </c>
    </row>
    <row r="40" customFormat="false" ht="43.5" hidden="false" customHeight="true" outlineLevel="0" collapsed="false">
      <c r="A40" s="9" t="s">
        <v>202</v>
      </c>
      <c r="B40" s="9" t="s">
        <v>241</v>
      </c>
      <c r="C40" s="10" t="s">
        <v>252</v>
      </c>
      <c r="D40" s="9" t="s">
        <v>243</v>
      </c>
      <c r="E40" s="9" t="s">
        <v>253</v>
      </c>
      <c r="F40" s="9" t="s">
        <v>254</v>
      </c>
      <c r="G40" s="9" t="s">
        <v>250</v>
      </c>
      <c r="H40" s="12" t="s">
        <v>11</v>
      </c>
      <c r="I40" s="9" t="s">
        <v>255</v>
      </c>
    </row>
    <row r="41" customFormat="false" ht="43.5" hidden="false" customHeight="true" outlineLevel="0" collapsed="false">
      <c r="A41" s="9" t="s">
        <v>202</v>
      </c>
      <c r="B41" s="9" t="s">
        <v>241</v>
      </c>
      <c r="C41" s="10" t="s">
        <v>256</v>
      </c>
      <c r="D41" s="9" t="s">
        <v>257</v>
      </c>
      <c r="E41" s="9" t="s">
        <v>258</v>
      </c>
      <c r="F41" s="9" t="s">
        <v>259</v>
      </c>
      <c r="G41" s="9" t="s">
        <v>56</v>
      </c>
      <c r="H41" s="12" t="s">
        <v>11</v>
      </c>
      <c r="I41" s="9" t="s">
        <v>260</v>
      </c>
    </row>
    <row r="42" customFormat="false" ht="30.75" hidden="false" customHeight="true" outlineLevel="0" collapsed="false">
      <c r="A42" s="9" t="s">
        <v>202</v>
      </c>
      <c r="B42" s="13" t="s">
        <v>241</v>
      </c>
      <c r="C42" s="14" t="s">
        <v>261</v>
      </c>
      <c r="D42" s="9" t="s">
        <v>262</v>
      </c>
      <c r="E42" s="9" t="s">
        <v>263</v>
      </c>
      <c r="F42" s="9" t="s">
        <v>264</v>
      </c>
      <c r="G42" s="9" t="s">
        <v>250</v>
      </c>
      <c r="H42" s="15" t="s">
        <v>13</v>
      </c>
      <c r="I42" s="9" t="s">
        <v>265</v>
      </c>
    </row>
    <row r="43" customFormat="false" ht="43.5" hidden="false" customHeight="true" outlineLevel="0" collapsed="false">
      <c r="A43" s="9" t="s">
        <v>202</v>
      </c>
      <c r="B43" s="9" t="s">
        <v>266</v>
      </c>
      <c r="C43" s="10" t="s">
        <v>267</v>
      </c>
      <c r="D43" s="9" t="s">
        <v>268</v>
      </c>
      <c r="E43" s="9" t="s">
        <v>48</v>
      </c>
      <c r="F43" s="9" t="s">
        <v>269</v>
      </c>
      <c r="G43" s="9" t="s">
        <v>270</v>
      </c>
      <c r="H43" s="11" t="s">
        <v>44</v>
      </c>
      <c r="I43" s="9" t="s">
        <v>271</v>
      </c>
    </row>
    <row r="44" customFormat="false" ht="43.5" hidden="false" customHeight="true" outlineLevel="0" collapsed="false">
      <c r="A44" s="9" t="s">
        <v>202</v>
      </c>
      <c r="B44" s="9" t="s">
        <v>266</v>
      </c>
      <c r="C44" s="10" t="s">
        <v>272</v>
      </c>
      <c r="D44" s="9" t="s">
        <v>273</v>
      </c>
      <c r="E44" s="9" t="s">
        <v>274</v>
      </c>
      <c r="F44" s="9" t="s">
        <v>275</v>
      </c>
      <c r="G44" s="9" t="s">
        <v>56</v>
      </c>
      <c r="H44" s="12" t="s">
        <v>11</v>
      </c>
      <c r="I44" s="9" t="s">
        <v>276</v>
      </c>
    </row>
    <row r="45" customFormat="false" ht="43.5" hidden="false" customHeight="true" outlineLevel="0" collapsed="false">
      <c r="A45" s="9" t="s">
        <v>202</v>
      </c>
      <c r="B45" s="9" t="s">
        <v>277</v>
      </c>
      <c r="C45" s="10" t="s">
        <v>278</v>
      </c>
      <c r="D45" s="9" t="s">
        <v>279</v>
      </c>
      <c r="E45" s="9" t="s">
        <v>48</v>
      </c>
      <c r="F45" s="9" t="s">
        <v>280</v>
      </c>
      <c r="G45" s="9" t="s">
        <v>281</v>
      </c>
      <c r="H45" s="11" t="s">
        <v>44</v>
      </c>
      <c r="I45" s="9" t="s">
        <v>282</v>
      </c>
    </row>
    <row r="46" customFormat="false" ht="30.75" hidden="false" customHeight="true" outlineLevel="0" collapsed="false">
      <c r="A46" s="9" t="s">
        <v>202</v>
      </c>
      <c r="B46" s="13" t="s">
        <v>277</v>
      </c>
      <c r="C46" s="14" t="s">
        <v>283</v>
      </c>
      <c r="D46" s="9" t="s">
        <v>284</v>
      </c>
      <c r="E46" s="9" t="s">
        <v>285</v>
      </c>
      <c r="F46" s="9" t="s">
        <v>286</v>
      </c>
      <c r="G46" s="9" t="s">
        <v>56</v>
      </c>
      <c r="H46" s="15" t="s">
        <v>13</v>
      </c>
      <c r="I46" s="9" t="s">
        <v>287</v>
      </c>
    </row>
    <row r="47" customFormat="false" ht="43.5" hidden="false" customHeight="true" outlineLevel="0" collapsed="false">
      <c r="A47" s="9" t="s">
        <v>202</v>
      </c>
      <c r="B47" s="9" t="s">
        <v>288</v>
      </c>
      <c r="C47" s="10" t="s">
        <v>289</v>
      </c>
      <c r="D47" s="9" t="s">
        <v>290</v>
      </c>
      <c r="E47" s="9" t="s">
        <v>48</v>
      </c>
      <c r="F47" s="9" t="s">
        <v>291</v>
      </c>
      <c r="G47" s="9" t="s">
        <v>292</v>
      </c>
      <c r="H47" s="11" t="s">
        <v>44</v>
      </c>
      <c r="I47" s="9" t="s">
        <v>293</v>
      </c>
    </row>
    <row r="48" customFormat="false" ht="43.5" hidden="false" customHeight="true" outlineLevel="0" collapsed="false">
      <c r="A48" s="9" t="s">
        <v>202</v>
      </c>
      <c r="B48" s="9" t="s">
        <v>288</v>
      </c>
      <c r="C48" s="10" t="s">
        <v>294</v>
      </c>
      <c r="D48" s="9" t="s">
        <v>295</v>
      </c>
      <c r="E48" s="9" t="s">
        <v>296</v>
      </c>
      <c r="F48" s="9" t="s">
        <v>297</v>
      </c>
      <c r="G48" s="9" t="s">
        <v>56</v>
      </c>
      <c r="H48" s="12" t="s">
        <v>11</v>
      </c>
      <c r="I48" s="9" t="s">
        <v>298</v>
      </c>
    </row>
    <row r="49" customFormat="false" ht="30.75" hidden="false" customHeight="true" outlineLevel="0" collapsed="false">
      <c r="A49" s="9" t="s">
        <v>202</v>
      </c>
      <c r="B49" s="13" t="s">
        <v>288</v>
      </c>
      <c r="C49" s="14" t="s">
        <v>299</v>
      </c>
      <c r="D49" s="9" t="s">
        <v>300</v>
      </c>
      <c r="E49" s="9" t="s">
        <v>301</v>
      </c>
      <c r="F49" s="9" t="s">
        <v>302</v>
      </c>
      <c r="G49" s="9" t="s">
        <v>187</v>
      </c>
      <c r="H49" s="15" t="s">
        <v>13</v>
      </c>
      <c r="I49" s="9" t="s">
        <v>303</v>
      </c>
    </row>
    <row r="50" customFormat="false" ht="43.5" hidden="false" customHeight="true" outlineLevel="0" collapsed="false">
      <c r="A50" s="9" t="s">
        <v>202</v>
      </c>
      <c r="B50" s="9" t="s">
        <v>304</v>
      </c>
      <c r="C50" s="10" t="s">
        <v>305</v>
      </c>
      <c r="D50" s="9" t="s">
        <v>306</v>
      </c>
      <c r="E50" s="9" t="s">
        <v>73</v>
      </c>
      <c r="F50" s="9" t="s">
        <v>264</v>
      </c>
      <c r="G50" s="9" t="s">
        <v>307</v>
      </c>
      <c r="H50" s="11" t="s">
        <v>44</v>
      </c>
      <c r="I50" s="9" t="s">
        <v>308</v>
      </c>
    </row>
    <row r="51" customFormat="false" ht="30.75" hidden="false" customHeight="true" outlineLevel="0" collapsed="false">
      <c r="A51" s="9" t="s">
        <v>202</v>
      </c>
      <c r="B51" s="9" t="s">
        <v>304</v>
      </c>
      <c r="C51" s="10" t="s">
        <v>309</v>
      </c>
      <c r="D51" s="9" t="s">
        <v>310</v>
      </c>
      <c r="E51" s="9" t="s">
        <v>48</v>
      </c>
      <c r="F51" s="9" t="s">
        <v>264</v>
      </c>
      <c r="G51" s="9" t="s">
        <v>56</v>
      </c>
      <c r="H51" s="12" t="s">
        <v>11</v>
      </c>
      <c r="I51" s="9" t="s">
        <v>311</v>
      </c>
    </row>
    <row r="52" customFormat="false" ht="43.5" hidden="false" customHeight="true" outlineLevel="0" collapsed="false">
      <c r="A52" s="9" t="s">
        <v>202</v>
      </c>
      <c r="B52" s="9" t="s">
        <v>304</v>
      </c>
      <c r="C52" s="10" t="s">
        <v>312</v>
      </c>
      <c r="D52" s="9" t="s">
        <v>313</v>
      </c>
      <c r="E52" s="9" t="s">
        <v>48</v>
      </c>
      <c r="F52" s="9" t="s">
        <v>314</v>
      </c>
      <c r="G52" s="9" t="s">
        <v>56</v>
      </c>
      <c r="H52" s="12" t="s">
        <v>11</v>
      </c>
      <c r="I52" s="9" t="s">
        <v>315</v>
      </c>
    </row>
    <row r="53" customFormat="false" ht="43.5" hidden="false" customHeight="true" outlineLevel="0" collapsed="false">
      <c r="A53" s="9" t="s">
        <v>202</v>
      </c>
      <c r="B53" s="13" t="s">
        <v>304</v>
      </c>
      <c r="C53" s="14" t="s">
        <v>316</v>
      </c>
      <c r="D53" s="9" t="s">
        <v>317</v>
      </c>
      <c r="E53" s="9" t="s">
        <v>173</v>
      </c>
      <c r="F53" s="9" t="s">
        <v>318</v>
      </c>
      <c r="G53" s="9" t="s">
        <v>319</v>
      </c>
      <c r="H53" s="15" t="s">
        <v>13</v>
      </c>
      <c r="I53" s="9" t="s">
        <v>320</v>
      </c>
    </row>
    <row r="54" customFormat="false" ht="43.5" hidden="false" customHeight="true" outlineLevel="0" collapsed="false">
      <c r="A54" s="9" t="s">
        <v>202</v>
      </c>
      <c r="B54" s="9" t="s">
        <v>321</v>
      </c>
      <c r="C54" s="10" t="s">
        <v>322</v>
      </c>
      <c r="D54" s="9" t="s">
        <v>323</v>
      </c>
      <c r="E54" s="9" t="s">
        <v>73</v>
      </c>
      <c r="F54" s="9" t="s">
        <v>324</v>
      </c>
      <c r="G54" s="9" t="s">
        <v>325</v>
      </c>
      <c r="H54" s="11" t="s">
        <v>44</v>
      </c>
      <c r="I54" s="9" t="s">
        <v>326</v>
      </c>
    </row>
    <row r="55" customFormat="false" ht="43.5" hidden="false" customHeight="true" outlineLevel="0" collapsed="false">
      <c r="A55" s="9" t="s">
        <v>202</v>
      </c>
      <c r="B55" s="9" t="s">
        <v>321</v>
      </c>
      <c r="C55" s="10" t="s">
        <v>327</v>
      </c>
      <c r="D55" s="9" t="s">
        <v>323</v>
      </c>
      <c r="E55" s="9" t="s">
        <v>78</v>
      </c>
      <c r="F55" s="9" t="s">
        <v>328</v>
      </c>
      <c r="G55" s="9" t="s">
        <v>329</v>
      </c>
      <c r="H55" s="11" t="s">
        <v>44</v>
      </c>
      <c r="I55" s="9" t="s">
        <v>330</v>
      </c>
    </row>
    <row r="56" customFormat="false" ht="43.5" hidden="false" customHeight="true" outlineLevel="0" collapsed="false">
      <c r="A56" s="9" t="s">
        <v>202</v>
      </c>
      <c r="B56" s="9" t="s">
        <v>321</v>
      </c>
      <c r="C56" s="10" t="s">
        <v>331</v>
      </c>
      <c r="D56" s="9" t="s">
        <v>323</v>
      </c>
      <c r="E56" s="9" t="s">
        <v>78</v>
      </c>
      <c r="F56" s="9" t="s">
        <v>332</v>
      </c>
      <c r="G56" s="9" t="s">
        <v>333</v>
      </c>
      <c r="H56" s="11" t="s">
        <v>44</v>
      </c>
      <c r="I56" s="9" t="s">
        <v>334</v>
      </c>
    </row>
    <row r="57" customFormat="false" ht="43.5" hidden="false" customHeight="true" outlineLevel="0" collapsed="false">
      <c r="A57" s="9" t="s">
        <v>202</v>
      </c>
      <c r="B57" s="9" t="s">
        <v>321</v>
      </c>
      <c r="C57" s="10" t="s">
        <v>335</v>
      </c>
      <c r="D57" s="9" t="s">
        <v>323</v>
      </c>
      <c r="E57" s="9" t="s">
        <v>100</v>
      </c>
      <c r="F57" s="9" t="s">
        <v>332</v>
      </c>
      <c r="G57" s="9" t="s">
        <v>336</v>
      </c>
      <c r="H57" s="12" t="s">
        <v>11</v>
      </c>
      <c r="I57" s="9" t="s">
        <v>337</v>
      </c>
    </row>
    <row r="58" customFormat="false" ht="43.5" hidden="false" customHeight="true" outlineLevel="0" collapsed="false">
      <c r="A58" s="9" t="s">
        <v>202</v>
      </c>
      <c r="B58" s="9" t="s">
        <v>321</v>
      </c>
      <c r="C58" s="10" t="s">
        <v>338</v>
      </c>
      <c r="D58" s="9" t="s">
        <v>339</v>
      </c>
      <c r="E58" s="9" t="s">
        <v>340</v>
      </c>
      <c r="F58" s="9" t="s">
        <v>341</v>
      </c>
      <c r="G58" s="9" t="s">
        <v>342</v>
      </c>
      <c r="H58" s="12" t="s">
        <v>11</v>
      </c>
      <c r="I58" s="9" t="s">
        <v>343</v>
      </c>
    </row>
    <row r="59" customFormat="false" ht="43.5" hidden="false" customHeight="true" outlineLevel="0" collapsed="false">
      <c r="A59" s="9" t="s">
        <v>202</v>
      </c>
      <c r="B59" s="13" t="s">
        <v>321</v>
      </c>
      <c r="C59" s="14" t="s">
        <v>344</v>
      </c>
      <c r="D59" s="9" t="s">
        <v>345</v>
      </c>
      <c r="E59" s="9" t="s">
        <v>346</v>
      </c>
      <c r="F59" s="9" t="s">
        <v>347</v>
      </c>
      <c r="G59" s="9" t="s">
        <v>187</v>
      </c>
      <c r="H59" s="15" t="s">
        <v>13</v>
      </c>
      <c r="I59" s="9" t="s">
        <v>348</v>
      </c>
    </row>
    <row r="60" customFormat="false" ht="43.5" hidden="false" customHeight="true" outlineLevel="0" collapsed="false">
      <c r="A60" s="9" t="s">
        <v>202</v>
      </c>
      <c r="B60" s="9" t="s">
        <v>349</v>
      </c>
      <c r="C60" s="10" t="s">
        <v>350</v>
      </c>
      <c r="D60" s="9" t="s">
        <v>351</v>
      </c>
      <c r="E60" s="9" t="s">
        <v>352</v>
      </c>
      <c r="F60" s="9" t="s">
        <v>353</v>
      </c>
      <c r="G60" s="9" t="s">
        <v>187</v>
      </c>
      <c r="H60" s="11" t="s">
        <v>44</v>
      </c>
      <c r="I60" s="9" t="s">
        <v>354</v>
      </c>
    </row>
    <row r="61" customFormat="false" ht="30.75" hidden="false" customHeight="true" outlineLevel="0" collapsed="false">
      <c r="A61" s="9" t="s">
        <v>202</v>
      </c>
      <c r="B61" s="13" t="s">
        <v>355</v>
      </c>
      <c r="C61" s="14" t="s">
        <v>356</v>
      </c>
      <c r="D61" s="9" t="s">
        <v>357</v>
      </c>
      <c r="E61" s="9" t="s">
        <v>358</v>
      </c>
      <c r="F61" s="9" t="s">
        <v>359</v>
      </c>
      <c r="G61" s="9" t="s">
        <v>56</v>
      </c>
      <c r="H61" s="15" t="s">
        <v>13</v>
      </c>
      <c r="I61" s="9" t="s">
        <v>360</v>
      </c>
    </row>
    <row r="62" customFormat="false" ht="30.75" hidden="false" customHeight="true" outlineLevel="0" collapsed="false">
      <c r="A62" s="9" t="s">
        <v>202</v>
      </c>
      <c r="B62" s="9" t="s">
        <v>361</v>
      </c>
      <c r="C62" s="10" t="s">
        <v>362</v>
      </c>
      <c r="D62" s="9" t="s">
        <v>363</v>
      </c>
      <c r="E62" s="9" t="s">
        <v>364</v>
      </c>
      <c r="F62" s="9" t="s">
        <v>353</v>
      </c>
      <c r="G62" s="9" t="s">
        <v>56</v>
      </c>
      <c r="H62" s="11" t="s">
        <v>44</v>
      </c>
      <c r="I62" s="9" t="s">
        <v>365</v>
      </c>
    </row>
    <row r="63" customFormat="false" ht="43.5" hidden="false" customHeight="true" outlineLevel="0" collapsed="false">
      <c r="A63" s="9" t="s">
        <v>202</v>
      </c>
      <c r="B63" s="13" t="s">
        <v>361</v>
      </c>
      <c r="C63" s="14" t="s">
        <v>366</v>
      </c>
      <c r="D63" s="9" t="s">
        <v>363</v>
      </c>
      <c r="E63" s="9" t="s">
        <v>367</v>
      </c>
      <c r="F63" s="9" t="s">
        <v>368</v>
      </c>
      <c r="G63" s="9" t="s">
        <v>187</v>
      </c>
      <c r="H63" s="15" t="s">
        <v>13</v>
      </c>
      <c r="I63" s="9" t="s">
        <v>369</v>
      </c>
    </row>
    <row r="64" customFormat="false" ht="43.5" hidden="false" customHeight="true" outlineLevel="0" collapsed="false">
      <c r="A64" s="9" t="s">
        <v>202</v>
      </c>
      <c r="B64" s="9" t="s">
        <v>370</v>
      </c>
      <c r="C64" s="10" t="s">
        <v>371</v>
      </c>
      <c r="D64" s="9" t="s">
        <v>290</v>
      </c>
      <c r="E64" s="9" t="s">
        <v>48</v>
      </c>
      <c r="F64" s="9" t="s">
        <v>291</v>
      </c>
      <c r="G64" s="9" t="s">
        <v>292</v>
      </c>
      <c r="H64" s="11" t="s">
        <v>44</v>
      </c>
      <c r="I64" s="9" t="s">
        <v>372</v>
      </c>
    </row>
    <row r="65" customFormat="false" ht="43.5" hidden="false" customHeight="true" outlineLevel="0" collapsed="false">
      <c r="A65" s="9" t="s">
        <v>202</v>
      </c>
      <c r="B65" s="9" t="s">
        <v>370</v>
      </c>
      <c r="C65" s="10" t="s">
        <v>373</v>
      </c>
      <c r="D65" s="9" t="s">
        <v>374</v>
      </c>
      <c r="E65" s="9" t="s">
        <v>375</v>
      </c>
      <c r="F65" s="9" t="s">
        <v>376</v>
      </c>
      <c r="G65" s="9" t="s">
        <v>187</v>
      </c>
      <c r="H65" s="12" t="s">
        <v>11</v>
      </c>
      <c r="I65" s="9" t="s">
        <v>377</v>
      </c>
    </row>
    <row r="66" customFormat="false" ht="30.75" hidden="false" customHeight="true" outlineLevel="0" collapsed="false">
      <c r="A66" s="9" t="s">
        <v>202</v>
      </c>
      <c r="B66" s="13" t="s">
        <v>370</v>
      </c>
      <c r="C66" s="14" t="s">
        <v>378</v>
      </c>
      <c r="D66" s="9" t="s">
        <v>379</v>
      </c>
      <c r="E66" s="9" t="s">
        <v>380</v>
      </c>
      <c r="F66" s="9" t="s">
        <v>359</v>
      </c>
      <c r="G66" s="9" t="s">
        <v>187</v>
      </c>
      <c r="H66" s="15" t="s">
        <v>13</v>
      </c>
      <c r="I66" s="9" t="s">
        <v>381</v>
      </c>
    </row>
    <row r="67" customFormat="false" ht="43.5" hidden="false" customHeight="true" outlineLevel="0" collapsed="false">
      <c r="A67" s="9" t="s">
        <v>202</v>
      </c>
      <c r="B67" s="9" t="s">
        <v>382</v>
      </c>
      <c r="C67" s="10" t="s">
        <v>383</v>
      </c>
      <c r="D67" s="9" t="s">
        <v>384</v>
      </c>
      <c r="E67" s="9" t="s">
        <v>48</v>
      </c>
      <c r="F67" s="9" t="s">
        <v>385</v>
      </c>
      <c r="G67" s="9" t="s">
        <v>386</v>
      </c>
      <c r="H67" s="11" t="s">
        <v>44</v>
      </c>
      <c r="I67" s="9" t="s">
        <v>387</v>
      </c>
    </row>
    <row r="68" customFormat="false" ht="43.5" hidden="false" customHeight="true" outlineLevel="0" collapsed="false">
      <c r="A68" s="9" t="s">
        <v>202</v>
      </c>
      <c r="B68" s="9" t="s">
        <v>382</v>
      </c>
      <c r="C68" s="10" t="s">
        <v>388</v>
      </c>
      <c r="D68" s="9" t="s">
        <v>389</v>
      </c>
      <c r="E68" s="9" t="s">
        <v>390</v>
      </c>
      <c r="F68" s="9" t="s">
        <v>297</v>
      </c>
      <c r="G68" s="9" t="s">
        <v>391</v>
      </c>
      <c r="H68" s="12" t="s">
        <v>11</v>
      </c>
      <c r="I68" s="9" t="s">
        <v>392</v>
      </c>
    </row>
    <row r="69" customFormat="false" ht="30.75" hidden="false" customHeight="true" outlineLevel="0" collapsed="false">
      <c r="A69" s="9" t="s">
        <v>202</v>
      </c>
      <c r="B69" s="9" t="s">
        <v>382</v>
      </c>
      <c r="C69" s="10" t="s">
        <v>393</v>
      </c>
      <c r="D69" s="9" t="s">
        <v>394</v>
      </c>
      <c r="E69" s="9" t="s">
        <v>395</v>
      </c>
      <c r="F69" s="9" t="s">
        <v>217</v>
      </c>
      <c r="G69" s="9" t="s">
        <v>396</v>
      </c>
      <c r="H69" s="12" t="s">
        <v>11</v>
      </c>
      <c r="I69" s="9" t="s">
        <v>397</v>
      </c>
    </row>
    <row r="70" customFormat="false" ht="43.5" hidden="false" customHeight="true" outlineLevel="0" collapsed="false">
      <c r="A70" s="9" t="s">
        <v>202</v>
      </c>
      <c r="B70" s="13" t="s">
        <v>382</v>
      </c>
      <c r="C70" s="14" t="s">
        <v>196</v>
      </c>
      <c r="D70" s="9" t="s">
        <v>398</v>
      </c>
      <c r="E70" s="9" t="s">
        <v>399</v>
      </c>
      <c r="F70" s="9" t="s">
        <v>400</v>
      </c>
      <c r="G70" s="9" t="s">
        <v>187</v>
      </c>
      <c r="H70" s="15" t="s">
        <v>13</v>
      </c>
      <c r="I70" s="9" t="s">
        <v>401</v>
      </c>
    </row>
    <row r="71" customFormat="false" ht="43.5" hidden="false" customHeight="true" outlineLevel="0" collapsed="false">
      <c r="A71" s="9" t="s">
        <v>202</v>
      </c>
      <c r="B71" s="9" t="s">
        <v>402</v>
      </c>
      <c r="C71" s="10" t="s">
        <v>403</v>
      </c>
      <c r="D71" s="9" t="s">
        <v>404</v>
      </c>
      <c r="E71" s="9" t="s">
        <v>405</v>
      </c>
      <c r="F71" s="9" t="s">
        <v>406</v>
      </c>
      <c r="G71" s="9" t="s">
        <v>407</v>
      </c>
      <c r="H71" s="11" t="s">
        <v>44</v>
      </c>
      <c r="I71" s="9" t="s">
        <v>408</v>
      </c>
    </row>
    <row r="72" customFormat="false" ht="30.75" hidden="false" customHeight="true" outlineLevel="0" collapsed="false">
      <c r="A72" s="9" t="s">
        <v>202</v>
      </c>
      <c r="B72" s="9" t="s">
        <v>402</v>
      </c>
      <c r="C72" s="10" t="s">
        <v>409</v>
      </c>
      <c r="D72" s="9" t="s">
        <v>410</v>
      </c>
      <c r="E72" s="9" t="s">
        <v>411</v>
      </c>
      <c r="F72" s="9" t="s">
        <v>412</v>
      </c>
      <c r="G72" s="9" t="s">
        <v>413</v>
      </c>
      <c r="H72" s="12" t="s">
        <v>11</v>
      </c>
      <c r="I72" s="9" t="s">
        <v>414</v>
      </c>
    </row>
    <row r="73" customFormat="false" ht="30.75" hidden="false" customHeight="true" outlineLevel="0" collapsed="false">
      <c r="A73" s="9" t="s">
        <v>202</v>
      </c>
      <c r="B73" s="9" t="s">
        <v>402</v>
      </c>
      <c r="C73" s="10" t="s">
        <v>415</v>
      </c>
      <c r="D73" s="9" t="s">
        <v>416</v>
      </c>
      <c r="E73" s="9" t="s">
        <v>48</v>
      </c>
      <c r="F73" s="9" t="s">
        <v>264</v>
      </c>
      <c r="G73" s="9" t="s">
        <v>56</v>
      </c>
      <c r="H73" s="12" t="s">
        <v>11</v>
      </c>
      <c r="I73" s="9" t="s">
        <v>417</v>
      </c>
    </row>
    <row r="74" customFormat="false" ht="43.5" hidden="false" customHeight="true" outlineLevel="0" collapsed="false">
      <c r="A74" s="9" t="s">
        <v>202</v>
      </c>
      <c r="B74" s="13" t="s">
        <v>402</v>
      </c>
      <c r="C74" s="14" t="s">
        <v>418</v>
      </c>
      <c r="D74" s="9" t="s">
        <v>419</v>
      </c>
      <c r="E74" s="9" t="s">
        <v>420</v>
      </c>
      <c r="F74" s="9" t="s">
        <v>400</v>
      </c>
      <c r="G74" s="9" t="s">
        <v>187</v>
      </c>
      <c r="H74" s="15" t="s">
        <v>13</v>
      </c>
      <c r="I74" s="9" t="s">
        <v>421</v>
      </c>
    </row>
    <row r="75" customFormat="false" ht="43.5" hidden="false" customHeight="true" outlineLevel="0" collapsed="false">
      <c r="A75" s="9" t="s">
        <v>202</v>
      </c>
      <c r="B75" s="9" t="s">
        <v>422</v>
      </c>
      <c r="C75" s="10" t="s">
        <v>423</v>
      </c>
      <c r="D75" s="9" t="s">
        <v>424</v>
      </c>
      <c r="E75" s="9" t="s">
        <v>425</v>
      </c>
      <c r="F75" s="9" t="s">
        <v>426</v>
      </c>
      <c r="G75" s="9" t="s">
        <v>427</v>
      </c>
      <c r="H75" s="11" t="s">
        <v>44</v>
      </c>
      <c r="I75" s="9" t="s">
        <v>428</v>
      </c>
    </row>
    <row r="76" customFormat="false" ht="30.75" hidden="false" customHeight="true" outlineLevel="0" collapsed="false">
      <c r="A76" s="9" t="s">
        <v>202</v>
      </c>
      <c r="B76" s="9" t="s">
        <v>422</v>
      </c>
      <c r="C76" s="10" t="s">
        <v>429</v>
      </c>
      <c r="D76" s="9" t="s">
        <v>424</v>
      </c>
      <c r="E76" s="9" t="s">
        <v>430</v>
      </c>
      <c r="F76" s="9" t="s">
        <v>431</v>
      </c>
      <c r="G76" s="9" t="s">
        <v>187</v>
      </c>
      <c r="H76" s="12" t="s">
        <v>11</v>
      </c>
      <c r="I76" s="9" t="s">
        <v>432</v>
      </c>
    </row>
    <row r="77" customFormat="false" ht="43.5" hidden="false" customHeight="true" outlineLevel="0" collapsed="false">
      <c r="A77" s="9" t="s">
        <v>202</v>
      </c>
      <c r="B77" s="9" t="s">
        <v>422</v>
      </c>
      <c r="C77" s="10" t="s">
        <v>433</v>
      </c>
      <c r="D77" s="9" t="s">
        <v>434</v>
      </c>
      <c r="E77" s="9" t="s">
        <v>48</v>
      </c>
      <c r="F77" s="9" t="s">
        <v>435</v>
      </c>
      <c r="G77" s="9" t="s">
        <v>56</v>
      </c>
      <c r="H77" s="12" t="s">
        <v>11</v>
      </c>
      <c r="I77" s="9" t="s">
        <v>436</v>
      </c>
    </row>
    <row r="78" customFormat="false" ht="43.5" hidden="false" customHeight="true" outlineLevel="0" collapsed="false">
      <c r="A78" s="9" t="s">
        <v>202</v>
      </c>
      <c r="B78" s="9" t="s">
        <v>437</v>
      </c>
      <c r="C78" s="10" t="s">
        <v>438</v>
      </c>
      <c r="D78" s="9" t="s">
        <v>439</v>
      </c>
      <c r="E78" s="9" t="s">
        <v>48</v>
      </c>
      <c r="F78" s="9" t="s">
        <v>385</v>
      </c>
      <c r="G78" s="9" t="s">
        <v>292</v>
      </c>
      <c r="H78" s="11" t="s">
        <v>44</v>
      </c>
      <c r="I78" s="9" t="s">
        <v>440</v>
      </c>
    </row>
    <row r="79" customFormat="false" ht="43.5" hidden="false" customHeight="true" outlineLevel="0" collapsed="false">
      <c r="A79" s="9" t="s">
        <v>202</v>
      </c>
      <c r="B79" s="9" t="s">
        <v>437</v>
      </c>
      <c r="C79" s="10" t="s">
        <v>441</v>
      </c>
      <c r="D79" s="9" t="s">
        <v>442</v>
      </c>
      <c r="E79" s="9" t="s">
        <v>48</v>
      </c>
      <c r="F79" s="9" t="s">
        <v>443</v>
      </c>
      <c r="G79" s="9" t="s">
        <v>56</v>
      </c>
      <c r="H79" s="12" t="s">
        <v>11</v>
      </c>
      <c r="I79" s="9" t="s">
        <v>444</v>
      </c>
    </row>
    <row r="80" customFormat="false" ht="30.75" hidden="false" customHeight="true" outlineLevel="0" collapsed="false">
      <c r="A80" s="9" t="s">
        <v>202</v>
      </c>
      <c r="B80" s="9" t="s">
        <v>445</v>
      </c>
      <c r="C80" s="10" t="s">
        <v>446</v>
      </c>
      <c r="D80" s="9" t="s">
        <v>447</v>
      </c>
      <c r="E80" s="9" t="s">
        <v>48</v>
      </c>
      <c r="F80" s="9" t="s">
        <v>264</v>
      </c>
      <c r="G80" s="9" t="s">
        <v>56</v>
      </c>
      <c r="H80" s="11" t="s">
        <v>44</v>
      </c>
      <c r="I80" s="9" t="s">
        <v>448</v>
      </c>
    </row>
    <row r="81" customFormat="false" ht="43.5" hidden="false" customHeight="true" outlineLevel="0" collapsed="false">
      <c r="A81" s="9" t="s">
        <v>202</v>
      </c>
      <c r="B81" s="9" t="s">
        <v>445</v>
      </c>
      <c r="C81" s="10" t="s">
        <v>449</v>
      </c>
      <c r="D81" s="9" t="s">
        <v>450</v>
      </c>
      <c r="E81" s="9" t="s">
        <v>451</v>
      </c>
      <c r="F81" s="9" t="s">
        <v>452</v>
      </c>
      <c r="G81" s="9" t="s">
        <v>187</v>
      </c>
      <c r="H81" s="11" t="s">
        <v>44</v>
      </c>
      <c r="I81" s="9" t="s">
        <v>453</v>
      </c>
    </row>
    <row r="82" customFormat="false" ht="30.75" hidden="false" customHeight="true" outlineLevel="0" collapsed="false">
      <c r="A82" s="9" t="s">
        <v>202</v>
      </c>
      <c r="B82" s="9" t="s">
        <v>445</v>
      </c>
      <c r="C82" s="10" t="s">
        <v>454</v>
      </c>
      <c r="D82" s="9" t="s">
        <v>455</v>
      </c>
      <c r="E82" s="9" t="s">
        <v>173</v>
      </c>
      <c r="F82" s="9" t="s">
        <v>456</v>
      </c>
      <c r="G82" s="9" t="s">
        <v>56</v>
      </c>
      <c r="H82" s="12" t="s">
        <v>11</v>
      </c>
      <c r="I82" s="9" t="s">
        <v>457</v>
      </c>
    </row>
    <row r="83" customFormat="false" ht="43.5" hidden="false" customHeight="true" outlineLevel="0" collapsed="false">
      <c r="A83" s="9" t="s">
        <v>202</v>
      </c>
      <c r="B83" s="13" t="s">
        <v>445</v>
      </c>
      <c r="C83" s="14" t="s">
        <v>458</v>
      </c>
      <c r="D83" s="9" t="s">
        <v>459</v>
      </c>
      <c r="E83" s="9" t="s">
        <v>460</v>
      </c>
      <c r="F83" s="9" t="s">
        <v>359</v>
      </c>
      <c r="G83" s="9" t="s">
        <v>187</v>
      </c>
      <c r="H83" s="15" t="s">
        <v>13</v>
      </c>
      <c r="I83" s="9" t="s">
        <v>461</v>
      </c>
    </row>
    <row r="84" customFormat="false" ht="43.5" hidden="false" customHeight="true" outlineLevel="0" collapsed="false">
      <c r="A84" s="9" t="s">
        <v>202</v>
      </c>
      <c r="B84" s="9" t="s">
        <v>462</v>
      </c>
      <c r="C84" s="10" t="s">
        <v>463</v>
      </c>
      <c r="D84" s="9" t="s">
        <v>464</v>
      </c>
      <c r="E84" s="9" t="s">
        <v>48</v>
      </c>
      <c r="F84" s="9" t="s">
        <v>264</v>
      </c>
      <c r="G84" s="9" t="s">
        <v>250</v>
      </c>
      <c r="H84" s="11" t="s">
        <v>44</v>
      </c>
      <c r="I84" s="9" t="s">
        <v>465</v>
      </c>
    </row>
    <row r="85" customFormat="false" ht="43.5" hidden="false" customHeight="true" outlineLevel="0" collapsed="false">
      <c r="A85" s="9" t="s">
        <v>202</v>
      </c>
      <c r="B85" s="9" t="s">
        <v>462</v>
      </c>
      <c r="C85" s="10" t="s">
        <v>466</v>
      </c>
      <c r="D85" s="9" t="s">
        <v>467</v>
      </c>
      <c r="E85" s="9" t="s">
        <v>468</v>
      </c>
      <c r="F85" s="9" t="s">
        <v>469</v>
      </c>
      <c r="G85" s="9" t="s">
        <v>56</v>
      </c>
      <c r="H85" s="11" t="s">
        <v>44</v>
      </c>
      <c r="I85" s="9" t="s">
        <v>470</v>
      </c>
    </row>
    <row r="86" customFormat="false" ht="30.75" hidden="false" customHeight="true" outlineLevel="0" collapsed="false">
      <c r="A86" s="9" t="s">
        <v>202</v>
      </c>
      <c r="B86" s="13" t="s">
        <v>462</v>
      </c>
      <c r="C86" s="14" t="s">
        <v>471</v>
      </c>
      <c r="D86" s="9" t="s">
        <v>472</v>
      </c>
      <c r="E86" s="9" t="s">
        <v>173</v>
      </c>
      <c r="F86" s="9" t="s">
        <v>473</v>
      </c>
      <c r="G86" s="9" t="s">
        <v>474</v>
      </c>
      <c r="H86" s="15" t="s">
        <v>13</v>
      </c>
      <c r="I86" s="9" t="s">
        <v>475</v>
      </c>
    </row>
    <row r="87" customFormat="false" ht="30.75" hidden="false" customHeight="true" outlineLevel="0" collapsed="false">
      <c r="A87" s="9" t="s">
        <v>202</v>
      </c>
      <c r="B87" s="9" t="s">
        <v>476</v>
      </c>
      <c r="C87" s="10" t="s">
        <v>477</v>
      </c>
      <c r="D87" s="9" t="s">
        <v>478</v>
      </c>
      <c r="E87" s="9" t="s">
        <v>48</v>
      </c>
      <c r="F87" s="9" t="s">
        <v>291</v>
      </c>
      <c r="G87" s="9" t="s">
        <v>292</v>
      </c>
      <c r="H87" s="11" t="s">
        <v>44</v>
      </c>
      <c r="I87" s="9" t="s">
        <v>479</v>
      </c>
    </row>
    <row r="88" customFormat="false" ht="43.5" hidden="false" customHeight="true" outlineLevel="0" collapsed="false">
      <c r="A88" s="9" t="s">
        <v>202</v>
      </c>
      <c r="B88" s="9" t="s">
        <v>476</v>
      </c>
      <c r="C88" s="10" t="s">
        <v>480</v>
      </c>
      <c r="D88" s="9" t="s">
        <v>481</v>
      </c>
      <c r="E88" s="9" t="s">
        <v>48</v>
      </c>
      <c r="F88" s="9" t="s">
        <v>242</v>
      </c>
      <c r="G88" s="9" t="s">
        <v>56</v>
      </c>
      <c r="H88" s="12" t="s">
        <v>11</v>
      </c>
      <c r="I88" s="9" t="s">
        <v>482</v>
      </c>
    </row>
    <row r="89" customFormat="false" ht="30.75" hidden="false" customHeight="true" outlineLevel="0" collapsed="false">
      <c r="A89" s="9" t="s">
        <v>202</v>
      </c>
      <c r="B89" s="9" t="s">
        <v>476</v>
      </c>
      <c r="C89" s="10" t="s">
        <v>483</v>
      </c>
      <c r="D89" s="9" t="s">
        <v>484</v>
      </c>
      <c r="E89" s="9" t="s">
        <v>485</v>
      </c>
      <c r="F89" s="9" t="s">
        <v>291</v>
      </c>
      <c r="G89" s="9" t="s">
        <v>56</v>
      </c>
      <c r="H89" s="12" t="s">
        <v>11</v>
      </c>
      <c r="I89" s="9" t="s">
        <v>486</v>
      </c>
    </row>
    <row r="90" customFormat="false" ht="30.75" hidden="false" customHeight="true" outlineLevel="0" collapsed="false">
      <c r="A90" s="9" t="s">
        <v>202</v>
      </c>
      <c r="B90" s="9" t="s">
        <v>487</v>
      </c>
      <c r="C90" s="10" t="s">
        <v>488</v>
      </c>
      <c r="D90" s="9" t="s">
        <v>489</v>
      </c>
      <c r="E90" s="9" t="s">
        <v>48</v>
      </c>
      <c r="F90" s="9" t="s">
        <v>264</v>
      </c>
      <c r="G90" s="9" t="s">
        <v>56</v>
      </c>
      <c r="H90" s="11" t="s">
        <v>44</v>
      </c>
      <c r="I90" s="9" t="s">
        <v>490</v>
      </c>
    </row>
    <row r="91" customFormat="false" ht="30.75" hidden="false" customHeight="true" outlineLevel="0" collapsed="false">
      <c r="A91" s="9" t="s">
        <v>202</v>
      </c>
      <c r="B91" s="9" t="s">
        <v>487</v>
      </c>
      <c r="C91" s="10" t="s">
        <v>491</v>
      </c>
      <c r="D91" s="9" t="s">
        <v>492</v>
      </c>
      <c r="E91" s="9" t="s">
        <v>48</v>
      </c>
      <c r="F91" s="9" t="s">
        <v>443</v>
      </c>
      <c r="G91" s="9" t="s">
        <v>56</v>
      </c>
      <c r="H91" s="12" t="s">
        <v>11</v>
      </c>
      <c r="I91" s="9" t="s">
        <v>493</v>
      </c>
    </row>
    <row r="92" customFormat="false" ht="43.5" hidden="false" customHeight="true" outlineLevel="0" collapsed="false">
      <c r="A92" s="9" t="s">
        <v>202</v>
      </c>
      <c r="B92" s="9" t="s">
        <v>494</v>
      </c>
      <c r="C92" s="10" t="s">
        <v>495</v>
      </c>
      <c r="D92" s="9" t="s">
        <v>496</v>
      </c>
      <c r="E92" s="9" t="s">
        <v>48</v>
      </c>
      <c r="F92" s="9" t="s">
        <v>291</v>
      </c>
      <c r="G92" s="9" t="s">
        <v>56</v>
      </c>
      <c r="H92" s="11" t="s">
        <v>44</v>
      </c>
      <c r="I92" s="9" t="s">
        <v>497</v>
      </c>
    </row>
    <row r="93" customFormat="false" ht="30.75" hidden="false" customHeight="true" outlineLevel="0" collapsed="false">
      <c r="A93" s="9" t="s">
        <v>202</v>
      </c>
      <c r="B93" s="9" t="s">
        <v>494</v>
      </c>
      <c r="C93" s="10" t="s">
        <v>498</v>
      </c>
      <c r="D93" s="9" t="s">
        <v>499</v>
      </c>
      <c r="E93" s="9" t="s">
        <v>500</v>
      </c>
      <c r="F93" s="9" t="s">
        <v>501</v>
      </c>
      <c r="G93" s="9" t="s">
        <v>187</v>
      </c>
      <c r="H93" s="12" t="s">
        <v>11</v>
      </c>
      <c r="I93" s="9" t="s">
        <v>502</v>
      </c>
    </row>
    <row r="94" customFormat="false" ht="43.5" hidden="false" customHeight="true" outlineLevel="0" collapsed="false">
      <c r="A94" s="9" t="s">
        <v>202</v>
      </c>
      <c r="B94" s="13" t="s">
        <v>494</v>
      </c>
      <c r="C94" s="14" t="s">
        <v>503</v>
      </c>
      <c r="D94" s="9" t="s">
        <v>504</v>
      </c>
      <c r="E94" s="9" t="s">
        <v>505</v>
      </c>
      <c r="F94" s="9" t="s">
        <v>359</v>
      </c>
      <c r="G94" s="9" t="s">
        <v>187</v>
      </c>
      <c r="H94" s="15" t="s">
        <v>13</v>
      </c>
      <c r="I94" s="9" t="s">
        <v>506</v>
      </c>
    </row>
    <row r="95" customFormat="false" ht="43.5" hidden="false" customHeight="true" outlineLevel="0" collapsed="false">
      <c r="A95" s="9" t="s">
        <v>202</v>
      </c>
      <c r="B95" s="9" t="s">
        <v>507</v>
      </c>
      <c r="C95" s="10" t="s">
        <v>508</v>
      </c>
      <c r="D95" s="9" t="s">
        <v>509</v>
      </c>
      <c r="E95" s="9" t="s">
        <v>510</v>
      </c>
      <c r="F95" s="9" t="s">
        <v>511</v>
      </c>
      <c r="G95" s="9" t="s">
        <v>512</v>
      </c>
      <c r="H95" s="11" t="s">
        <v>44</v>
      </c>
      <c r="I95" s="9" t="s">
        <v>513</v>
      </c>
    </row>
    <row r="96" customFormat="false" ht="30.75" hidden="false" customHeight="true" outlineLevel="0" collapsed="false">
      <c r="A96" s="9" t="s">
        <v>202</v>
      </c>
      <c r="B96" s="9" t="s">
        <v>507</v>
      </c>
      <c r="C96" s="10" t="s">
        <v>514</v>
      </c>
      <c r="D96" s="9" t="s">
        <v>515</v>
      </c>
      <c r="E96" s="9" t="s">
        <v>516</v>
      </c>
      <c r="F96" s="9" t="s">
        <v>517</v>
      </c>
      <c r="G96" s="9" t="s">
        <v>518</v>
      </c>
      <c r="H96" s="11" t="s">
        <v>44</v>
      </c>
      <c r="I96" s="9" t="s">
        <v>519</v>
      </c>
    </row>
    <row r="97" customFormat="false" ht="43.5" hidden="false" customHeight="true" outlineLevel="0" collapsed="false">
      <c r="A97" s="9" t="s">
        <v>202</v>
      </c>
      <c r="B97" s="9" t="s">
        <v>507</v>
      </c>
      <c r="C97" s="10" t="s">
        <v>520</v>
      </c>
      <c r="D97" s="9" t="s">
        <v>521</v>
      </c>
      <c r="E97" s="9" t="s">
        <v>48</v>
      </c>
      <c r="F97" s="9" t="s">
        <v>264</v>
      </c>
      <c r="G97" s="9" t="s">
        <v>239</v>
      </c>
      <c r="H97" s="12" t="s">
        <v>11</v>
      </c>
      <c r="I97" s="9" t="s">
        <v>522</v>
      </c>
    </row>
    <row r="98" customFormat="false" ht="43.5" hidden="false" customHeight="true" outlineLevel="0" collapsed="false">
      <c r="A98" s="9" t="s">
        <v>523</v>
      </c>
      <c r="B98" s="9" t="s">
        <v>524</v>
      </c>
      <c r="C98" s="10" t="s">
        <v>525</v>
      </c>
      <c r="D98" s="9" t="s">
        <v>526</v>
      </c>
      <c r="E98" s="9" t="s">
        <v>78</v>
      </c>
      <c r="F98" s="9" t="s">
        <v>527</v>
      </c>
      <c r="G98" s="9" t="s">
        <v>528</v>
      </c>
      <c r="H98" s="11" t="s">
        <v>44</v>
      </c>
      <c r="I98" s="9" t="s">
        <v>529</v>
      </c>
    </row>
    <row r="99" customFormat="false" ht="30.75" hidden="false" customHeight="true" outlineLevel="0" collapsed="false">
      <c r="A99" s="9" t="s">
        <v>523</v>
      </c>
      <c r="B99" s="9" t="s">
        <v>524</v>
      </c>
      <c r="C99" s="10" t="s">
        <v>530</v>
      </c>
      <c r="D99" s="9" t="s">
        <v>531</v>
      </c>
      <c r="E99" s="9" t="s">
        <v>78</v>
      </c>
      <c r="F99" s="9" t="s">
        <v>532</v>
      </c>
      <c r="G99" s="9" t="s">
        <v>533</v>
      </c>
      <c r="H99" s="11" t="s">
        <v>44</v>
      </c>
      <c r="I99" s="9" t="s">
        <v>534</v>
      </c>
    </row>
    <row r="100" customFormat="false" ht="30.75" hidden="false" customHeight="true" outlineLevel="0" collapsed="false">
      <c r="A100" s="9" t="s">
        <v>523</v>
      </c>
      <c r="B100" s="9" t="s">
        <v>524</v>
      </c>
      <c r="C100" s="10" t="s">
        <v>535</v>
      </c>
      <c r="D100" s="9" t="s">
        <v>536</v>
      </c>
      <c r="E100" s="9" t="s">
        <v>78</v>
      </c>
      <c r="F100" s="9" t="s">
        <v>537</v>
      </c>
      <c r="G100" s="9" t="s">
        <v>538</v>
      </c>
      <c r="H100" s="12" t="s">
        <v>11</v>
      </c>
      <c r="I100" s="9" t="s">
        <v>539</v>
      </c>
    </row>
    <row r="101" customFormat="false" ht="30.75" hidden="false" customHeight="true" outlineLevel="0" collapsed="false">
      <c r="A101" s="9" t="s">
        <v>523</v>
      </c>
      <c r="B101" s="9" t="s">
        <v>524</v>
      </c>
      <c r="C101" s="10" t="s">
        <v>540</v>
      </c>
      <c r="D101" s="9" t="s">
        <v>541</v>
      </c>
      <c r="E101" s="9" t="s">
        <v>542</v>
      </c>
      <c r="F101" s="9" t="s">
        <v>543</v>
      </c>
      <c r="G101" s="9" t="s">
        <v>544</v>
      </c>
      <c r="H101" s="12" t="s">
        <v>11</v>
      </c>
      <c r="I101" s="9" t="s">
        <v>545</v>
      </c>
    </row>
    <row r="102" customFormat="false" ht="30.75" hidden="false" customHeight="true" outlineLevel="0" collapsed="false">
      <c r="A102" s="9" t="s">
        <v>523</v>
      </c>
      <c r="B102" s="13" t="s">
        <v>524</v>
      </c>
      <c r="C102" s="14" t="s">
        <v>546</v>
      </c>
      <c r="D102" s="9" t="s">
        <v>547</v>
      </c>
      <c r="E102" s="9" t="s">
        <v>548</v>
      </c>
      <c r="F102" s="9" t="s">
        <v>549</v>
      </c>
      <c r="G102" s="9" t="s">
        <v>56</v>
      </c>
      <c r="H102" s="15" t="s">
        <v>13</v>
      </c>
      <c r="I102" s="9" t="s">
        <v>550</v>
      </c>
    </row>
    <row r="103" customFormat="false" ht="43.5" hidden="false" customHeight="true" outlineLevel="0" collapsed="false">
      <c r="A103" s="9" t="s">
        <v>523</v>
      </c>
      <c r="B103" s="9" t="s">
        <v>551</v>
      </c>
      <c r="C103" s="10" t="s">
        <v>552</v>
      </c>
      <c r="D103" s="9" t="s">
        <v>553</v>
      </c>
      <c r="E103" s="9" t="s">
        <v>48</v>
      </c>
      <c r="F103" s="9" t="s">
        <v>554</v>
      </c>
      <c r="G103" s="9" t="s">
        <v>250</v>
      </c>
      <c r="H103" s="11" t="s">
        <v>44</v>
      </c>
      <c r="I103" s="9" t="s">
        <v>555</v>
      </c>
    </row>
    <row r="104" customFormat="false" ht="43.5" hidden="false" customHeight="true" outlineLevel="0" collapsed="false">
      <c r="A104" s="9" t="s">
        <v>523</v>
      </c>
      <c r="B104" s="9" t="s">
        <v>551</v>
      </c>
      <c r="C104" s="10" t="s">
        <v>556</v>
      </c>
      <c r="D104" s="9" t="s">
        <v>557</v>
      </c>
      <c r="E104" s="9" t="s">
        <v>558</v>
      </c>
      <c r="F104" s="9" t="s">
        <v>554</v>
      </c>
      <c r="G104" s="9" t="s">
        <v>56</v>
      </c>
      <c r="H104" s="12" t="s">
        <v>11</v>
      </c>
      <c r="I104" s="9" t="s">
        <v>559</v>
      </c>
    </row>
    <row r="105" customFormat="false" ht="30.75" hidden="false" customHeight="true" outlineLevel="0" collapsed="false">
      <c r="A105" s="9" t="s">
        <v>523</v>
      </c>
      <c r="B105" s="9" t="s">
        <v>560</v>
      </c>
      <c r="C105" s="10" t="s">
        <v>561</v>
      </c>
      <c r="D105" s="9" t="s">
        <v>562</v>
      </c>
      <c r="E105" s="9" t="s">
        <v>78</v>
      </c>
      <c r="F105" s="9" t="s">
        <v>368</v>
      </c>
      <c r="G105" s="9" t="s">
        <v>187</v>
      </c>
      <c r="H105" s="11" t="s">
        <v>44</v>
      </c>
      <c r="I105" s="9" t="s">
        <v>563</v>
      </c>
    </row>
    <row r="106" customFormat="false" ht="30.75" hidden="false" customHeight="true" outlineLevel="0" collapsed="false">
      <c r="A106" s="9" t="s">
        <v>523</v>
      </c>
      <c r="B106" s="9" t="s">
        <v>560</v>
      </c>
      <c r="C106" s="10" t="s">
        <v>564</v>
      </c>
      <c r="D106" s="9" t="s">
        <v>565</v>
      </c>
      <c r="E106" s="9" t="s">
        <v>566</v>
      </c>
      <c r="F106" s="9" t="s">
        <v>368</v>
      </c>
      <c r="G106" s="9" t="s">
        <v>187</v>
      </c>
      <c r="H106" s="12" t="s">
        <v>11</v>
      </c>
      <c r="I106" s="9" t="s">
        <v>567</v>
      </c>
    </row>
    <row r="107" customFormat="false" ht="30.75" hidden="false" customHeight="true" outlineLevel="0" collapsed="false">
      <c r="A107" s="9" t="s">
        <v>523</v>
      </c>
      <c r="B107" s="9" t="s">
        <v>568</v>
      </c>
      <c r="C107" s="10" t="s">
        <v>569</v>
      </c>
      <c r="D107" s="9" t="s">
        <v>106</v>
      </c>
      <c r="E107" s="9" t="s">
        <v>48</v>
      </c>
      <c r="F107" s="9" t="s">
        <v>554</v>
      </c>
      <c r="G107" s="9" t="s">
        <v>250</v>
      </c>
      <c r="H107" s="11" t="s">
        <v>44</v>
      </c>
      <c r="I107" s="9" t="s">
        <v>570</v>
      </c>
    </row>
    <row r="108" customFormat="false" ht="43.5" hidden="false" customHeight="true" outlineLevel="0" collapsed="false">
      <c r="A108" s="9" t="s">
        <v>523</v>
      </c>
      <c r="B108" s="9" t="s">
        <v>568</v>
      </c>
      <c r="C108" s="10" t="s">
        <v>571</v>
      </c>
      <c r="D108" s="9" t="s">
        <v>572</v>
      </c>
      <c r="E108" s="9" t="s">
        <v>179</v>
      </c>
      <c r="F108" s="9" t="s">
        <v>368</v>
      </c>
      <c r="G108" s="9" t="s">
        <v>187</v>
      </c>
      <c r="H108" s="11" t="s">
        <v>44</v>
      </c>
      <c r="I108" s="9" t="s">
        <v>573</v>
      </c>
    </row>
    <row r="109" customFormat="false" ht="43.5" hidden="false" customHeight="true" outlineLevel="0" collapsed="false">
      <c r="A109" s="9" t="s">
        <v>523</v>
      </c>
      <c r="B109" s="9" t="s">
        <v>574</v>
      </c>
      <c r="C109" s="10" t="s">
        <v>575</v>
      </c>
      <c r="D109" s="9" t="s">
        <v>576</v>
      </c>
      <c r="E109" s="9" t="s">
        <v>48</v>
      </c>
      <c r="F109" s="9" t="s">
        <v>577</v>
      </c>
      <c r="G109" s="9" t="s">
        <v>250</v>
      </c>
      <c r="H109" s="11" t="s">
        <v>44</v>
      </c>
      <c r="I109" s="9" t="s">
        <v>578</v>
      </c>
    </row>
    <row r="110" customFormat="false" ht="30.75" hidden="false" customHeight="true" outlineLevel="0" collapsed="false">
      <c r="A110" s="9" t="s">
        <v>523</v>
      </c>
      <c r="B110" s="9" t="s">
        <v>574</v>
      </c>
      <c r="C110" s="10" t="s">
        <v>579</v>
      </c>
      <c r="D110" s="9" t="s">
        <v>290</v>
      </c>
      <c r="E110" s="9" t="s">
        <v>48</v>
      </c>
      <c r="F110" s="9" t="s">
        <v>554</v>
      </c>
      <c r="G110" s="9" t="s">
        <v>56</v>
      </c>
      <c r="H110" s="12" t="s">
        <v>11</v>
      </c>
      <c r="I110" s="9" t="s">
        <v>580</v>
      </c>
    </row>
    <row r="111" customFormat="false" ht="43.5" hidden="false" customHeight="true" outlineLevel="0" collapsed="false">
      <c r="A111" s="9" t="s">
        <v>523</v>
      </c>
      <c r="B111" s="13" t="s">
        <v>574</v>
      </c>
      <c r="C111" s="14" t="s">
        <v>581</v>
      </c>
      <c r="D111" s="9" t="s">
        <v>106</v>
      </c>
      <c r="E111" s="9" t="s">
        <v>48</v>
      </c>
      <c r="F111" s="9" t="s">
        <v>554</v>
      </c>
      <c r="G111" s="9" t="s">
        <v>56</v>
      </c>
      <c r="H111" s="15" t="s">
        <v>13</v>
      </c>
      <c r="I111" s="9" t="s">
        <v>582</v>
      </c>
    </row>
    <row r="112" customFormat="false" ht="30.75" hidden="false" customHeight="true" outlineLevel="0" collapsed="false">
      <c r="A112" s="9" t="s">
        <v>523</v>
      </c>
      <c r="B112" s="9" t="s">
        <v>583</v>
      </c>
      <c r="C112" s="10" t="s">
        <v>584</v>
      </c>
      <c r="D112" s="9" t="s">
        <v>585</v>
      </c>
      <c r="E112" s="9" t="s">
        <v>73</v>
      </c>
      <c r="F112" s="9" t="s">
        <v>586</v>
      </c>
      <c r="G112" s="9" t="s">
        <v>587</v>
      </c>
      <c r="H112" s="11" t="s">
        <v>44</v>
      </c>
      <c r="I112" s="9" t="s">
        <v>588</v>
      </c>
    </row>
    <row r="113" customFormat="false" ht="30.75" hidden="false" customHeight="true" outlineLevel="0" collapsed="false">
      <c r="A113" s="9" t="s">
        <v>523</v>
      </c>
      <c r="B113" s="9" t="s">
        <v>583</v>
      </c>
      <c r="C113" s="10" t="s">
        <v>589</v>
      </c>
      <c r="D113" s="9" t="s">
        <v>590</v>
      </c>
      <c r="E113" s="9" t="s">
        <v>78</v>
      </c>
      <c r="F113" s="9" t="s">
        <v>368</v>
      </c>
      <c r="G113" s="9" t="s">
        <v>591</v>
      </c>
      <c r="H113" s="11" t="s">
        <v>44</v>
      </c>
      <c r="I113" s="9" t="s">
        <v>592</v>
      </c>
    </row>
    <row r="114" customFormat="false" ht="30.75" hidden="false" customHeight="true" outlineLevel="0" collapsed="false">
      <c r="A114" s="9" t="s">
        <v>523</v>
      </c>
      <c r="B114" s="9" t="s">
        <v>583</v>
      </c>
      <c r="C114" s="10" t="s">
        <v>593</v>
      </c>
      <c r="D114" s="9" t="s">
        <v>594</v>
      </c>
      <c r="E114" s="9" t="s">
        <v>595</v>
      </c>
      <c r="F114" s="9" t="s">
        <v>368</v>
      </c>
      <c r="G114" s="9" t="s">
        <v>596</v>
      </c>
      <c r="H114" s="12" t="s">
        <v>11</v>
      </c>
      <c r="I114" s="9" t="s">
        <v>597</v>
      </c>
    </row>
    <row r="115" customFormat="false" ht="43.5" hidden="false" customHeight="true" outlineLevel="0" collapsed="false">
      <c r="A115" s="9" t="s">
        <v>523</v>
      </c>
      <c r="B115" s="13" t="s">
        <v>583</v>
      </c>
      <c r="C115" s="14" t="s">
        <v>598</v>
      </c>
      <c r="D115" s="9" t="s">
        <v>599</v>
      </c>
      <c r="E115" s="9" t="s">
        <v>600</v>
      </c>
      <c r="F115" s="9" t="s">
        <v>368</v>
      </c>
      <c r="G115" s="9" t="s">
        <v>187</v>
      </c>
      <c r="H115" s="15" t="s">
        <v>13</v>
      </c>
      <c r="I115" s="9" t="s">
        <v>601</v>
      </c>
    </row>
    <row r="116" customFormat="false" ht="43.5" hidden="false" customHeight="true" outlineLevel="0" collapsed="false">
      <c r="A116" s="9" t="s">
        <v>523</v>
      </c>
      <c r="B116" s="9" t="s">
        <v>602</v>
      </c>
      <c r="C116" s="10" t="s">
        <v>603</v>
      </c>
      <c r="D116" s="9" t="s">
        <v>604</v>
      </c>
      <c r="E116" s="9" t="s">
        <v>48</v>
      </c>
      <c r="F116" s="9" t="s">
        <v>554</v>
      </c>
      <c r="G116" s="9" t="s">
        <v>250</v>
      </c>
      <c r="H116" s="11" t="s">
        <v>44</v>
      </c>
      <c r="I116" s="9" t="s">
        <v>605</v>
      </c>
    </row>
    <row r="117" customFormat="false" ht="30.75" hidden="false" customHeight="true" outlineLevel="0" collapsed="false">
      <c r="A117" s="9" t="s">
        <v>523</v>
      </c>
      <c r="B117" s="9" t="s">
        <v>602</v>
      </c>
      <c r="C117" s="10" t="s">
        <v>606</v>
      </c>
      <c r="D117" s="9" t="s">
        <v>607</v>
      </c>
      <c r="E117" s="9" t="s">
        <v>608</v>
      </c>
      <c r="F117" s="9" t="s">
        <v>554</v>
      </c>
      <c r="G117" s="9" t="s">
        <v>56</v>
      </c>
      <c r="H117" s="12" t="s">
        <v>11</v>
      </c>
      <c r="I117" s="9" t="s">
        <v>609</v>
      </c>
    </row>
    <row r="118" customFormat="false" ht="43.5" hidden="false" customHeight="true" outlineLevel="0" collapsed="false">
      <c r="A118" s="9" t="s">
        <v>610</v>
      </c>
      <c r="B118" s="9" t="s">
        <v>611</v>
      </c>
      <c r="C118" s="10" t="s">
        <v>612</v>
      </c>
      <c r="D118" s="9" t="s">
        <v>613</v>
      </c>
      <c r="E118" s="9" t="s">
        <v>48</v>
      </c>
      <c r="F118" s="9" t="s">
        <v>614</v>
      </c>
      <c r="G118" s="9" t="s">
        <v>56</v>
      </c>
      <c r="H118" s="11" t="s">
        <v>44</v>
      </c>
      <c r="I118" s="9" t="s">
        <v>615</v>
      </c>
    </row>
    <row r="119" customFormat="false" ht="30.75" hidden="false" customHeight="true" outlineLevel="0" collapsed="false">
      <c r="A119" s="9" t="s">
        <v>610</v>
      </c>
      <c r="B119" s="9" t="s">
        <v>611</v>
      </c>
      <c r="C119" s="10" t="s">
        <v>616</v>
      </c>
      <c r="D119" s="9" t="s">
        <v>617</v>
      </c>
      <c r="E119" s="9" t="s">
        <v>618</v>
      </c>
      <c r="F119" s="9" t="s">
        <v>619</v>
      </c>
      <c r="G119" s="9" t="s">
        <v>187</v>
      </c>
      <c r="H119" s="12" t="s">
        <v>11</v>
      </c>
      <c r="I119" s="9" t="s">
        <v>620</v>
      </c>
    </row>
    <row r="120" customFormat="false" ht="43.5" hidden="false" customHeight="true" outlineLevel="0" collapsed="false">
      <c r="A120" s="9" t="s">
        <v>610</v>
      </c>
      <c r="B120" s="9" t="s">
        <v>621</v>
      </c>
      <c r="C120" s="10" t="s">
        <v>622</v>
      </c>
      <c r="D120" s="9" t="s">
        <v>290</v>
      </c>
      <c r="E120" s="9" t="s">
        <v>48</v>
      </c>
      <c r="F120" s="9" t="s">
        <v>359</v>
      </c>
      <c r="G120" s="9" t="s">
        <v>292</v>
      </c>
      <c r="H120" s="11" t="s">
        <v>44</v>
      </c>
      <c r="I120" s="9" t="s">
        <v>623</v>
      </c>
    </row>
    <row r="121" customFormat="false" ht="30.75" hidden="false" customHeight="true" outlineLevel="0" collapsed="false">
      <c r="A121" s="9" t="s">
        <v>610</v>
      </c>
      <c r="B121" s="9" t="s">
        <v>621</v>
      </c>
      <c r="C121" s="10" t="s">
        <v>624</v>
      </c>
      <c r="D121" s="9" t="s">
        <v>625</v>
      </c>
      <c r="E121" s="9" t="s">
        <v>173</v>
      </c>
      <c r="F121" s="9" t="s">
        <v>297</v>
      </c>
      <c r="G121" s="9" t="s">
        <v>626</v>
      </c>
      <c r="H121" s="12" t="s">
        <v>11</v>
      </c>
      <c r="I121" s="9" t="s">
        <v>627</v>
      </c>
    </row>
    <row r="122" customFormat="false" ht="43.5" hidden="false" customHeight="true" outlineLevel="0" collapsed="false">
      <c r="A122" s="9" t="s">
        <v>610</v>
      </c>
      <c r="B122" s="9" t="s">
        <v>628</v>
      </c>
      <c r="C122" s="10" t="s">
        <v>629</v>
      </c>
      <c r="D122" s="9" t="s">
        <v>630</v>
      </c>
      <c r="E122" s="9" t="s">
        <v>48</v>
      </c>
      <c r="F122" s="9" t="s">
        <v>631</v>
      </c>
      <c r="G122" s="9" t="s">
        <v>56</v>
      </c>
      <c r="H122" s="11" t="s">
        <v>44</v>
      </c>
      <c r="I122" s="9" t="s">
        <v>632</v>
      </c>
    </row>
    <row r="123" customFormat="false" ht="30.75" hidden="false" customHeight="true" outlineLevel="0" collapsed="false">
      <c r="A123" s="9" t="s">
        <v>610</v>
      </c>
      <c r="B123" s="9" t="s">
        <v>628</v>
      </c>
      <c r="C123" s="10" t="s">
        <v>633</v>
      </c>
      <c r="D123" s="9" t="s">
        <v>389</v>
      </c>
      <c r="E123" s="9" t="s">
        <v>173</v>
      </c>
      <c r="F123" s="9" t="s">
        <v>634</v>
      </c>
      <c r="G123" s="9" t="s">
        <v>187</v>
      </c>
      <c r="H123" s="12" t="s">
        <v>11</v>
      </c>
      <c r="I123" s="9" t="s">
        <v>635</v>
      </c>
    </row>
    <row r="124" customFormat="false" ht="43.5" hidden="false" customHeight="true" outlineLevel="0" collapsed="false">
      <c r="A124" s="9" t="s">
        <v>610</v>
      </c>
      <c r="B124" s="9" t="s">
        <v>636</v>
      </c>
      <c r="C124" s="10" t="s">
        <v>637</v>
      </c>
      <c r="D124" s="9" t="s">
        <v>638</v>
      </c>
      <c r="E124" s="9" t="s">
        <v>639</v>
      </c>
      <c r="F124" s="9" t="s">
        <v>640</v>
      </c>
      <c r="G124" s="9" t="s">
        <v>56</v>
      </c>
      <c r="H124" s="11" t="s">
        <v>44</v>
      </c>
      <c r="I124" s="9" t="s">
        <v>641</v>
      </c>
    </row>
    <row r="125" customFormat="false" ht="43.5" hidden="false" customHeight="true" outlineLevel="0" collapsed="false">
      <c r="A125" s="9" t="s">
        <v>610</v>
      </c>
      <c r="B125" s="9" t="s">
        <v>636</v>
      </c>
      <c r="C125" s="10" t="s">
        <v>642</v>
      </c>
      <c r="D125" s="9" t="s">
        <v>643</v>
      </c>
      <c r="E125" s="9" t="s">
        <v>644</v>
      </c>
      <c r="F125" s="9" t="s">
        <v>645</v>
      </c>
      <c r="G125" s="9" t="s">
        <v>250</v>
      </c>
      <c r="H125" s="12" t="s">
        <v>11</v>
      </c>
      <c r="I125" s="9" t="s">
        <v>646</v>
      </c>
    </row>
    <row r="126" customFormat="false" ht="30.75" hidden="false" customHeight="true" outlineLevel="0" collapsed="false">
      <c r="A126" s="9" t="s">
        <v>610</v>
      </c>
      <c r="B126" s="9" t="s">
        <v>647</v>
      </c>
      <c r="C126" s="10" t="s">
        <v>648</v>
      </c>
      <c r="D126" s="9" t="s">
        <v>649</v>
      </c>
      <c r="E126" s="9" t="s">
        <v>650</v>
      </c>
      <c r="F126" s="9" t="s">
        <v>651</v>
      </c>
      <c r="G126" s="9" t="s">
        <v>187</v>
      </c>
      <c r="H126" s="11" t="s">
        <v>44</v>
      </c>
      <c r="I126" s="9" t="s">
        <v>652</v>
      </c>
    </row>
    <row r="127" customFormat="false" ht="30.75" hidden="false" customHeight="true" outlineLevel="0" collapsed="false">
      <c r="A127" s="9" t="s">
        <v>610</v>
      </c>
      <c r="B127" s="9" t="s">
        <v>647</v>
      </c>
      <c r="C127" s="10" t="s">
        <v>653</v>
      </c>
      <c r="D127" s="9" t="s">
        <v>654</v>
      </c>
      <c r="E127" s="9" t="s">
        <v>655</v>
      </c>
      <c r="F127" s="9" t="s">
        <v>656</v>
      </c>
      <c r="G127" s="9" t="s">
        <v>56</v>
      </c>
      <c r="H127" s="12" t="s">
        <v>11</v>
      </c>
      <c r="I127" s="9" t="s">
        <v>657</v>
      </c>
    </row>
    <row r="128" customFormat="false" ht="30.75" hidden="false" customHeight="true" outlineLevel="0" collapsed="false">
      <c r="A128" s="9" t="s">
        <v>610</v>
      </c>
      <c r="B128" s="9" t="s">
        <v>658</v>
      </c>
      <c r="C128" s="10" t="s">
        <v>659</v>
      </c>
      <c r="D128" s="9" t="s">
        <v>290</v>
      </c>
      <c r="E128" s="9" t="s">
        <v>48</v>
      </c>
      <c r="F128" s="9" t="s">
        <v>359</v>
      </c>
      <c r="G128" s="9" t="s">
        <v>292</v>
      </c>
      <c r="H128" s="11" t="s">
        <v>44</v>
      </c>
      <c r="I128" s="9" t="s">
        <v>660</v>
      </c>
    </row>
    <row r="129" customFormat="false" ht="30.75" hidden="false" customHeight="true" outlineLevel="0" collapsed="false">
      <c r="A129" s="9" t="s">
        <v>610</v>
      </c>
      <c r="B129" s="9" t="s">
        <v>658</v>
      </c>
      <c r="C129" s="10" t="s">
        <v>661</v>
      </c>
      <c r="D129" s="9" t="s">
        <v>662</v>
      </c>
      <c r="E129" s="9" t="s">
        <v>663</v>
      </c>
      <c r="F129" s="9" t="s">
        <v>217</v>
      </c>
      <c r="G129" s="9" t="s">
        <v>187</v>
      </c>
      <c r="H129" s="12" t="s">
        <v>11</v>
      </c>
      <c r="I129" s="9" t="s">
        <v>664</v>
      </c>
    </row>
    <row r="130" customFormat="false" ht="43.5" hidden="false" customHeight="true" outlineLevel="0" collapsed="false">
      <c r="A130" s="9" t="s">
        <v>610</v>
      </c>
      <c r="B130" s="9" t="s">
        <v>665</v>
      </c>
      <c r="C130" s="10" t="s">
        <v>666</v>
      </c>
      <c r="D130" s="9" t="s">
        <v>667</v>
      </c>
      <c r="E130" s="9" t="s">
        <v>48</v>
      </c>
      <c r="F130" s="9" t="s">
        <v>359</v>
      </c>
      <c r="G130" s="9" t="s">
        <v>56</v>
      </c>
      <c r="H130" s="11" t="s">
        <v>44</v>
      </c>
      <c r="I130" s="9" t="s">
        <v>668</v>
      </c>
    </row>
    <row r="131" customFormat="false" ht="30.75" hidden="false" customHeight="true" outlineLevel="0" collapsed="false">
      <c r="A131" s="9" t="s">
        <v>610</v>
      </c>
      <c r="B131" s="9" t="s">
        <v>665</v>
      </c>
      <c r="C131" s="10" t="s">
        <v>669</v>
      </c>
      <c r="D131" s="9" t="s">
        <v>670</v>
      </c>
      <c r="E131" s="9" t="s">
        <v>671</v>
      </c>
      <c r="F131" s="9" t="s">
        <v>634</v>
      </c>
      <c r="G131" s="9" t="s">
        <v>56</v>
      </c>
      <c r="H131" s="12" t="s">
        <v>11</v>
      </c>
      <c r="I131" s="9" t="s">
        <v>672</v>
      </c>
    </row>
    <row r="132" customFormat="false" ht="43.5" hidden="false" customHeight="true" outlineLevel="0" collapsed="false">
      <c r="A132" s="9" t="s">
        <v>610</v>
      </c>
      <c r="B132" s="9" t="s">
        <v>673</v>
      </c>
      <c r="C132" s="10" t="s">
        <v>267</v>
      </c>
      <c r="D132" s="9" t="s">
        <v>674</v>
      </c>
      <c r="E132" s="9" t="s">
        <v>48</v>
      </c>
      <c r="F132" s="9" t="s">
        <v>359</v>
      </c>
      <c r="G132" s="9" t="s">
        <v>292</v>
      </c>
      <c r="H132" s="11" t="s">
        <v>44</v>
      </c>
      <c r="I132" s="9" t="s">
        <v>675</v>
      </c>
    </row>
    <row r="133" customFormat="false" ht="43.5" hidden="false" customHeight="true" outlineLevel="0" collapsed="false">
      <c r="A133" s="9" t="s">
        <v>610</v>
      </c>
      <c r="B133" s="9" t="s">
        <v>676</v>
      </c>
      <c r="C133" s="10" t="s">
        <v>677</v>
      </c>
      <c r="D133" s="9" t="s">
        <v>678</v>
      </c>
      <c r="E133" s="9" t="s">
        <v>679</v>
      </c>
      <c r="F133" s="9" t="s">
        <v>359</v>
      </c>
      <c r="G133" s="9" t="s">
        <v>187</v>
      </c>
      <c r="H133" s="11" t="s">
        <v>44</v>
      </c>
      <c r="I133" s="9" t="s">
        <v>680</v>
      </c>
    </row>
    <row r="134" customFormat="false" ht="30.75" hidden="false" customHeight="true" outlineLevel="0" collapsed="false">
      <c r="A134" s="9" t="s">
        <v>610</v>
      </c>
      <c r="B134" s="9" t="s">
        <v>676</v>
      </c>
      <c r="C134" s="10" t="s">
        <v>681</v>
      </c>
      <c r="D134" s="9" t="s">
        <v>682</v>
      </c>
      <c r="E134" s="9" t="s">
        <v>683</v>
      </c>
      <c r="F134" s="9" t="s">
        <v>359</v>
      </c>
      <c r="G134" s="9" t="s">
        <v>187</v>
      </c>
      <c r="H134" s="12" t="s">
        <v>11</v>
      </c>
      <c r="I134" s="9" t="s">
        <v>684</v>
      </c>
    </row>
    <row r="135" customFormat="false" ht="30.75" hidden="false" customHeight="true" outlineLevel="0" collapsed="false">
      <c r="A135" s="9" t="s">
        <v>610</v>
      </c>
      <c r="B135" s="9" t="s">
        <v>685</v>
      </c>
      <c r="C135" s="10" t="s">
        <v>686</v>
      </c>
      <c r="D135" s="9" t="s">
        <v>687</v>
      </c>
      <c r="E135" s="9" t="s">
        <v>688</v>
      </c>
      <c r="F135" s="9" t="s">
        <v>634</v>
      </c>
      <c r="G135" s="9" t="s">
        <v>56</v>
      </c>
      <c r="H135" s="11" t="s">
        <v>44</v>
      </c>
      <c r="I135" s="9" t="s">
        <v>689</v>
      </c>
    </row>
    <row r="136" customFormat="false" ht="43.5" hidden="false" customHeight="true" outlineLevel="0" collapsed="false">
      <c r="A136" s="9" t="s">
        <v>610</v>
      </c>
      <c r="B136" s="9" t="s">
        <v>685</v>
      </c>
      <c r="C136" s="10" t="s">
        <v>690</v>
      </c>
      <c r="D136" s="9" t="s">
        <v>691</v>
      </c>
      <c r="E136" s="9" t="s">
        <v>692</v>
      </c>
      <c r="F136" s="9" t="s">
        <v>400</v>
      </c>
      <c r="G136" s="9" t="s">
        <v>250</v>
      </c>
      <c r="H136" s="11" t="s">
        <v>44</v>
      </c>
      <c r="I136" s="9" t="s">
        <v>693</v>
      </c>
    </row>
    <row r="137" customFormat="false" ht="30.75" hidden="false" customHeight="true" outlineLevel="0" collapsed="false">
      <c r="A137" s="9" t="s">
        <v>610</v>
      </c>
      <c r="B137" s="9" t="s">
        <v>685</v>
      </c>
      <c r="C137" s="10" t="s">
        <v>694</v>
      </c>
      <c r="D137" s="9" t="s">
        <v>667</v>
      </c>
      <c r="E137" s="9" t="s">
        <v>695</v>
      </c>
      <c r="F137" s="9" t="s">
        <v>696</v>
      </c>
      <c r="G137" s="9" t="s">
        <v>56</v>
      </c>
      <c r="H137" s="12" t="s">
        <v>11</v>
      </c>
      <c r="I137" s="9" t="s">
        <v>697</v>
      </c>
    </row>
    <row r="138" customFormat="false" ht="43.5" hidden="false" customHeight="true" outlineLevel="0" collapsed="false">
      <c r="A138" s="9" t="s">
        <v>610</v>
      </c>
      <c r="B138" s="9" t="s">
        <v>698</v>
      </c>
      <c r="C138" s="10" t="s">
        <v>699</v>
      </c>
      <c r="D138" s="9" t="s">
        <v>700</v>
      </c>
      <c r="E138" s="9" t="s">
        <v>701</v>
      </c>
      <c r="F138" s="9" t="s">
        <v>702</v>
      </c>
      <c r="G138" s="9" t="s">
        <v>703</v>
      </c>
      <c r="H138" s="11" t="s">
        <v>44</v>
      </c>
      <c r="I138" s="9" t="s">
        <v>704</v>
      </c>
    </row>
    <row r="139" customFormat="false" ht="30.75" hidden="false" customHeight="true" outlineLevel="0" collapsed="false">
      <c r="A139" s="9" t="s">
        <v>610</v>
      </c>
      <c r="B139" s="9" t="s">
        <v>698</v>
      </c>
      <c r="C139" s="10" t="s">
        <v>705</v>
      </c>
      <c r="D139" s="9" t="s">
        <v>706</v>
      </c>
      <c r="E139" s="9" t="s">
        <v>655</v>
      </c>
      <c r="F139" s="9" t="s">
        <v>707</v>
      </c>
      <c r="G139" s="9" t="s">
        <v>56</v>
      </c>
      <c r="H139" s="12" t="s">
        <v>11</v>
      </c>
      <c r="I139" s="9" t="s">
        <v>708</v>
      </c>
    </row>
    <row r="140" customFormat="false" ht="56.25" hidden="false" customHeight="true" outlineLevel="0" collapsed="false">
      <c r="A140" s="9" t="s">
        <v>610</v>
      </c>
      <c r="B140" s="13" t="s">
        <v>698</v>
      </c>
      <c r="C140" s="14" t="s">
        <v>709</v>
      </c>
      <c r="D140" s="9" t="s">
        <v>710</v>
      </c>
      <c r="E140" s="9" t="s">
        <v>711</v>
      </c>
      <c r="F140" s="9" t="s">
        <v>400</v>
      </c>
      <c r="G140" s="9" t="s">
        <v>250</v>
      </c>
      <c r="H140" s="15" t="s">
        <v>13</v>
      </c>
      <c r="I140" s="9" t="s">
        <v>712</v>
      </c>
    </row>
    <row r="141" customFormat="false" ht="30.75" hidden="false" customHeight="true" outlineLevel="0" collapsed="false">
      <c r="A141" s="9" t="s">
        <v>610</v>
      </c>
      <c r="B141" s="9" t="s">
        <v>698</v>
      </c>
      <c r="C141" s="10" t="s">
        <v>713</v>
      </c>
      <c r="D141" s="9" t="s">
        <v>714</v>
      </c>
      <c r="E141" s="9" t="s">
        <v>548</v>
      </c>
      <c r="F141" s="9" t="s">
        <v>715</v>
      </c>
      <c r="G141" s="9" t="s">
        <v>716</v>
      </c>
      <c r="H141" s="12" t="s">
        <v>11</v>
      </c>
      <c r="I141" s="9" t="s">
        <v>717</v>
      </c>
    </row>
  </sheetData>
  <autoFilter ref="A1:I141"/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6" min="6" style="0" width="10"/>
  </cols>
  <sheetData>
    <row r="1" customFormat="false" ht="26.85" hidden="false" customHeight="false" outlineLevel="0" collapsed="false">
      <c r="A1" s="16" t="s">
        <v>28</v>
      </c>
      <c r="B1" s="16" t="s">
        <v>29</v>
      </c>
      <c r="C1" s="16" t="s">
        <v>718</v>
      </c>
      <c r="D1" s="16" t="s">
        <v>719</v>
      </c>
      <c r="E1" s="16" t="s">
        <v>720</v>
      </c>
      <c r="F1" s="16" t="s">
        <v>721</v>
      </c>
    </row>
    <row r="2" customFormat="false" ht="23.85" hidden="false" customHeight="false" outlineLevel="0" collapsed="false">
      <c r="A2" s="9" t="s">
        <v>37</v>
      </c>
      <c r="B2" s="10" t="s">
        <v>38</v>
      </c>
      <c r="C2" s="17" t="n">
        <f aca="false">COUNTIFS('Catalogo de tecnologias'!$B:$B,$B2,'Catalogo de tecnologias'!$H:$H,"★ Candidata fuerte")</f>
        <v>1</v>
      </c>
      <c r="D2" s="17" t="n">
        <f aca="false">COUNTIFS('Catalogo de tecnologias'!$B:$B,$B2,'Catalogo de tecnologias'!$H:$H,"Candidata")</f>
        <v>1</v>
      </c>
      <c r="E2" s="17" t="n">
        <f aca="false">COUNTIFS('Catalogo de tecnologias'!$B:$B,$B2,'Catalogo de tecnologias'!$H:$H,"Descartada")</f>
        <v>1</v>
      </c>
      <c r="F2" s="17" t="n">
        <f aca="false">SUM(C2:E2)</f>
        <v>3</v>
      </c>
    </row>
    <row r="3" customFormat="false" ht="15" hidden="false" customHeight="false" outlineLevel="0" collapsed="false">
      <c r="A3" s="9" t="s">
        <v>37</v>
      </c>
      <c r="B3" s="10" t="s">
        <v>58</v>
      </c>
      <c r="C3" s="17" t="n">
        <f aca="false">COUNTIFS('Catalogo de tecnologias'!$B:$B,$B3,'Catalogo de tecnologias'!$H:$H,"★ Candidata fuerte")</f>
        <v>3</v>
      </c>
      <c r="D3" s="17" t="n">
        <f aca="false">COUNTIFS('Catalogo de tecnologias'!$B:$B,$B3,'Catalogo de tecnologias'!$H:$H,"Candidata")</f>
        <v>2</v>
      </c>
      <c r="E3" s="17" t="n">
        <f aca="false">COUNTIFS('Catalogo de tecnologias'!$B:$B,$B3,'Catalogo de tecnologias'!$H:$H,"Descartada")</f>
        <v>1</v>
      </c>
      <c r="F3" s="17" t="n">
        <f aca="false">SUM(C3:E3)</f>
        <v>6</v>
      </c>
    </row>
    <row r="4" customFormat="false" ht="15" hidden="false" customHeight="false" outlineLevel="0" collapsed="false">
      <c r="A4" s="9" t="s">
        <v>37</v>
      </c>
      <c r="B4" s="10" t="s">
        <v>92</v>
      </c>
      <c r="C4" s="17" t="n">
        <f aca="false">COUNTIFS('Catalogo de tecnologias'!$B:$B,$B4,'Catalogo de tecnologias'!$H:$H,"★ Candidata fuerte")</f>
        <v>1</v>
      </c>
      <c r="D4" s="17" t="n">
        <f aca="false">COUNTIFS('Catalogo de tecnologias'!$B:$B,$B4,'Catalogo de tecnologias'!$H:$H,"Candidata")</f>
        <v>1</v>
      </c>
      <c r="E4" s="17" t="n">
        <f aca="false">COUNTIFS('Catalogo de tecnologias'!$B:$B,$B4,'Catalogo de tecnologias'!$H:$H,"Descartada")</f>
        <v>0</v>
      </c>
      <c r="F4" s="17" t="n">
        <f aca="false">SUM(C4:E4)</f>
        <v>2</v>
      </c>
    </row>
    <row r="5" customFormat="false" ht="15" hidden="false" customHeight="false" outlineLevel="0" collapsed="false">
      <c r="A5" s="9" t="s">
        <v>37</v>
      </c>
      <c r="B5" s="10" t="s">
        <v>104</v>
      </c>
      <c r="C5" s="17" t="n">
        <f aca="false">COUNTIFS('Catalogo de tecnologias'!$B:$B,$B5,'Catalogo de tecnologias'!$H:$H,"★ Candidata fuerte")</f>
        <v>1</v>
      </c>
      <c r="D5" s="17" t="n">
        <f aca="false">COUNTIFS('Catalogo de tecnologias'!$B:$B,$B5,'Catalogo de tecnologias'!$H:$H,"Candidata")</f>
        <v>1</v>
      </c>
      <c r="E5" s="17" t="n">
        <f aca="false">COUNTIFS('Catalogo de tecnologias'!$B:$B,$B5,'Catalogo de tecnologias'!$H:$H,"Descartada")</f>
        <v>0</v>
      </c>
      <c r="F5" s="17" t="n">
        <f aca="false">SUM(C5:E5)</f>
        <v>2</v>
      </c>
    </row>
    <row r="6" customFormat="false" ht="23.85" hidden="false" customHeight="false" outlineLevel="0" collapsed="false">
      <c r="A6" s="9" t="s">
        <v>37</v>
      </c>
      <c r="B6" s="10" t="s">
        <v>116</v>
      </c>
      <c r="C6" s="17" t="n">
        <f aca="false">COUNTIFS('Catalogo de tecnologias'!$B:$B,$B6,'Catalogo de tecnologias'!$H:$H,"★ Candidata fuerte")</f>
        <v>1</v>
      </c>
      <c r="D6" s="17" t="n">
        <f aca="false">COUNTIFS('Catalogo de tecnologias'!$B:$B,$B6,'Catalogo de tecnologias'!$H:$H,"Candidata")</f>
        <v>2</v>
      </c>
      <c r="E6" s="17" t="n">
        <f aca="false">COUNTIFS('Catalogo de tecnologias'!$B:$B,$B6,'Catalogo de tecnologias'!$H:$H,"Descartada")</f>
        <v>0</v>
      </c>
      <c r="F6" s="17" t="n">
        <f aca="false">SUM(C6:E6)</f>
        <v>3</v>
      </c>
    </row>
    <row r="7" customFormat="false" ht="15" hidden="false" customHeight="false" outlineLevel="0" collapsed="false">
      <c r="A7" s="9" t="s">
        <v>37</v>
      </c>
      <c r="B7" s="10" t="s">
        <v>129</v>
      </c>
      <c r="C7" s="17" t="n">
        <f aca="false">COUNTIFS('Catalogo de tecnologias'!$B:$B,$B7,'Catalogo de tecnologias'!$H:$H,"★ Candidata fuerte")</f>
        <v>1</v>
      </c>
      <c r="D7" s="17" t="n">
        <f aca="false">COUNTIFS('Catalogo de tecnologias'!$B:$B,$B7,'Catalogo de tecnologias'!$H:$H,"Candidata")</f>
        <v>2</v>
      </c>
      <c r="E7" s="17" t="n">
        <f aca="false">COUNTIFS('Catalogo de tecnologias'!$B:$B,$B7,'Catalogo de tecnologias'!$H:$H,"Descartada")</f>
        <v>1</v>
      </c>
      <c r="F7" s="17" t="n">
        <f aca="false">SUM(C7:E7)</f>
        <v>4</v>
      </c>
    </row>
    <row r="8" customFormat="false" ht="15" hidden="false" customHeight="false" outlineLevel="0" collapsed="false">
      <c r="A8" s="9" t="s">
        <v>37</v>
      </c>
      <c r="B8" s="10" t="s">
        <v>150</v>
      </c>
      <c r="C8" s="17" t="n">
        <f aca="false">COUNTIFS('Catalogo de tecnologias'!$B:$B,$B8,'Catalogo de tecnologias'!$H:$H,"★ Candidata fuerte")</f>
        <v>1</v>
      </c>
      <c r="D8" s="17" t="n">
        <f aca="false">COUNTIFS('Catalogo de tecnologias'!$B:$B,$B8,'Catalogo de tecnologias'!$H:$H,"Candidata")</f>
        <v>1</v>
      </c>
      <c r="E8" s="17" t="n">
        <f aca="false">COUNTIFS('Catalogo de tecnologias'!$B:$B,$B8,'Catalogo de tecnologias'!$H:$H,"Descartada")</f>
        <v>0</v>
      </c>
      <c r="F8" s="17" t="n">
        <f aca="false">SUM(C8:E8)</f>
        <v>2</v>
      </c>
    </row>
    <row r="9" customFormat="false" ht="15" hidden="false" customHeight="false" outlineLevel="0" collapsed="false">
      <c r="A9" s="9" t="s">
        <v>37</v>
      </c>
      <c r="B9" s="10" t="s">
        <v>160</v>
      </c>
      <c r="C9" s="17" t="n">
        <f aca="false">COUNTIFS('Catalogo de tecnologias'!$B:$B,$B9,'Catalogo de tecnologias'!$H:$H,"★ Candidata fuerte")</f>
        <v>1</v>
      </c>
      <c r="D9" s="17" t="n">
        <f aca="false">COUNTIFS('Catalogo de tecnologias'!$B:$B,$B9,'Catalogo de tecnologias'!$H:$H,"Candidata")</f>
        <v>3</v>
      </c>
      <c r="E9" s="17" t="n">
        <f aca="false">COUNTIFS('Catalogo de tecnologias'!$B:$B,$B9,'Catalogo de tecnologias'!$H:$H,"Descartada")</f>
        <v>1</v>
      </c>
      <c r="F9" s="17" t="n">
        <f aca="false">SUM(C9:E9)</f>
        <v>5</v>
      </c>
    </row>
    <row r="10" customFormat="false" ht="15" hidden="false" customHeight="false" outlineLevel="0" collapsed="false">
      <c r="A10" s="9" t="s">
        <v>37</v>
      </c>
      <c r="B10" s="10" t="s">
        <v>189</v>
      </c>
      <c r="C10" s="17" t="n">
        <f aca="false">COUNTIFS('Catalogo de tecnologias'!$B:$B,$B10,'Catalogo de tecnologias'!$H:$H,"★ Candidata fuerte")</f>
        <v>1</v>
      </c>
      <c r="D10" s="17" t="n">
        <f aca="false">COUNTIFS('Catalogo de tecnologias'!$B:$B,$B10,'Catalogo de tecnologias'!$H:$H,"Candidata")</f>
        <v>0</v>
      </c>
      <c r="E10" s="17" t="n">
        <f aca="false">COUNTIFS('Catalogo de tecnologias'!$B:$B,$B10,'Catalogo de tecnologias'!$H:$H,"Descartada")</f>
        <v>1</v>
      </c>
      <c r="F10" s="17" t="n">
        <f aca="false">SUM(C10:E10)</f>
        <v>2</v>
      </c>
    </row>
    <row r="11" customFormat="false" ht="15" hidden="false" customHeight="false" outlineLevel="0" collapsed="false">
      <c r="A11" s="9" t="s">
        <v>202</v>
      </c>
      <c r="B11" s="10" t="s">
        <v>203</v>
      </c>
      <c r="C11" s="17" t="n">
        <f aca="false">COUNTIFS('Catalogo de tecnologias'!$B:$B,$B11,'Catalogo de tecnologias'!$H:$H,"★ Candidata fuerte")</f>
        <v>2</v>
      </c>
      <c r="D11" s="17" t="n">
        <f aca="false">COUNTIFS('Catalogo de tecnologias'!$B:$B,$B11,'Catalogo de tecnologias'!$H:$H,"Candidata")</f>
        <v>2</v>
      </c>
      <c r="E11" s="17" t="n">
        <f aca="false">COUNTIFS('Catalogo de tecnologias'!$B:$B,$B11,'Catalogo de tecnologias'!$H:$H,"Descartada")</f>
        <v>1</v>
      </c>
      <c r="F11" s="17" t="n">
        <f aca="false">SUM(C11:E11)</f>
        <v>5</v>
      </c>
    </row>
    <row r="12" customFormat="false" ht="15" hidden="false" customHeight="false" outlineLevel="0" collapsed="false">
      <c r="A12" s="9" t="s">
        <v>202</v>
      </c>
      <c r="B12" s="10" t="s">
        <v>230</v>
      </c>
      <c r="C12" s="17" t="n">
        <f aca="false">COUNTIFS('Catalogo de tecnologias'!$B:$B,$B12,'Catalogo de tecnologias'!$H:$H,"★ Candidata fuerte")</f>
        <v>1</v>
      </c>
      <c r="D12" s="17" t="n">
        <f aca="false">COUNTIFS('Catalogo de tecnologias'!$B:$B,$B12,'Catalogo de tecnologias'!$H:$H,"Candidata")</f>
        <v>1</v>
      </c>
      <c r="E12" s="17" t="n">
        <f aca="false">COUNTIFS('Catalogo de tecnologias'!$B:$B,$B12,'Catalogo de tecnologias'!$H:$H,"Descartada")</f>
        <v>0</v>
      </c>
      <c r="F12" s="17" t="n">
        <f aca="false">SUM(C12:E12)</f>
        <v>2</v>
      </c>
    </row>
    <row r="13" customFormat="false" ht="15" hidden="false" customHeight="false" outlineLevel="0" collapsed="false">
      <c r="A13" s="9" t="s">
        <v>202</v>
      </c>
      <c r="B13" s="10" t="s">
        <v>241</v>
      </c>
      <c r="C13" s="17" t="n">
        <f aca="false">COUNTIFS('Catalogo de tecnologias'!$B:$B,$B13,'Catalogo de tecnologias'!$H:$H,"★ Candidata fuerte")</f>
        <v>1</v>
      </c>
      <c r="D13" s="17" t="n">
        <f aca="false">COUNTIFS('Catalogo de tecnologias'!$B:$B,$B13,'Catalogo de tecnologias'!$H:$H,"Candidata")</f>
        <v>3</v>
      </c>
      <c r="E13" s="17" t="n">
        <f aca="false">COUNTIFS('Catalogo de tecnologias'!$B:$B,$B13,'Catalogo de tecnologias'!$H:$H,"Descartada")</f>
        <v>1</v>
      </c>
      <c r="F13" s="17" t="n">
        <f aca="false">SUM(C13:E13)</f>
        <v>5</v>
      </c>
    </row>
    <row r="14" customFormat="false" ht="15" hidden="false" customHeight="false" outlineLevel="0" collapsed="false">
      <c r="A14" s="9" t="s">
        <v>202</v>
      </c>
      <c r="B14" s="10" t="s">
        <v>266</v>
      </c>
      <c r="C14" s="17" t="n">
        <f aca="false">COUNTIFS('Catalogo de tecnologias'!$B:$B,$B14,'Catalogo de tecnologias'!$H:$H,"★ Candidata fuerte")</f>
        <v>1</v>
      </c>
      <c r="D14" s="17" t="n">
        <f aca="false">COUNTIFS('Catalogo de tecnologias'!$B:$B,$B14,'Catalogo de tecnologias'!$H:$H,"Candidata")</f>
        <v>1</v>
      </c>
      <c r="E14" s="17" t="n">
        <f aca="false">COUNTIFS('Catalogo de tecnologias'!$B:$B,$B14,'Catalogo de tecnologias'!$H:$H,"Descartada")</f>
        <v>0</v>
      </c>
      <c r="F14" s="17" t="n">
        <f aca="false">SUM(C14:E14)</f>
        <v>2</v>
      </c>
    </row>
    <row r="15" customFormat="false" ht="15" hidden="false" customHeight="false" outlineLevel="0" collapsed="false">
      <c r="A15" s="9" t="s">
        <v>202</v>
      </c>
      <c r="B15" s="10" t="s">
        <v>277</v>
      </c>
      <c r="C15" s="17" t="n">
        <f aca="false">COUNTIFS('Catalogo de tecnologias'!$B:$B,$B15,'Catalogo de tecnologias'!$H:$H,"★ Candidata fuerte")</f>
        <v>1</v>
      </c>
      <c r="D15" s="17" t="n">
        <f aca="false">COUNTIFS('Catalogo de tecnologias'!$B:$B,$B15,'Catalogo de tecnologias'!$H:$H,"Candidata")</f>
        <v>0</v>
      </c>
      <c r="E15" s="17" t="n">
        <f aca="false">COUNTIFS('Catalogo de tecnologias'!$B:$B,$B15,'Catalogo de tecnologias'!$H:$H,"Descartada")</f>
        <v>1</v>
      </c>
      <c r="F15" s="17" t="n">
        <f aca="false">SUM(C15:E15)</f>
        <v>2</v>
      </c>
    </row>
    <row r="16" customFormat="false" ht="15" hidden="false" customHeight="false" outlineLevel="0" collapsed="false">
      <c r="A16" s="9" t="s">
        <v>202</v>
      </c>
      <c r="B16" s="10" t="s">
        <v>288</v>
      </c>
      <c r="C16" s="17" t="n">
        <f aca="false">COUNTIFS('Catalogo de tecnologias'!$B:$B,$B16,'Catalogo de tecnologias'!$H:$H,"★ Candidata fuerte")</f>
        <v>1</v>
      </c>
      <c r="D16" s="17" t="n">
        <f aca="false">COUNTIFS('Catalogo de tecnologias'!$B:$B,$B16,'Catalogo de tecnologias'!$H:$H,"Candidata")</f>
        <v>1</v>
      </c>
      <c r="E16" s="17" t="n">
        <f aca="false">COUNTIFS('Catalogo de tecnologias'!$B:$B,$B16,'Catalogo de tecnologias'!$H:$H,"Descartada")</f>
        <v>1</v>
      </c>
      <c r="F16" s="17" t="n">
        <f aca="false">SUM(C16:E16)</f>
        <v>3</v>
      </c>
    </row>
    <row r="17" customFormat="false" ht="15" hidden="false" customHeight="false" outlineLevel="0" collapsed="false">
      <c r="A17" s="9" t="s">
        <v>202</v>
      </c>
      <c r="B17" s="10" t="s">
        <v>304</v>
      </c>
      <c r="C17" s="17" t="n">
        <f aca="false">COUNTIFS('Catalogo de tecnologias'!$B:$B,$B17,'Catalogo de tecnologias'!$H:$H,"★ Candidata fuerte")</f>
        <v>1</v>
      </c>
      <c r="D17" s="17" t="n">
        <f aca="false">COUNTIFS('Catalogo de tecnologias'!$B:$B,$B17,'Catalogo de tecnologias'!$H:$H,"Candidata")</f>
        <v>2</v>
      </c>
      <c r="E17" s="17" t="n">
        <f aca="false">COUNTIFS('Catalogo de tecnologias'!$B:$B,$B17,'Catalogo de tecnologias'!$H:$H,"Descartada")</f>
        <v>1</v>
      </c>
      <c r="F17" s="17" t="n">
        <f aca="false">SUM(C17:E17)</f>
        <v>4</v>
      </c>
    </row>
    <row r="18" customFormat="false" ht="23.85" hidden="false" customHeight="false" outlineLevel="0" collapsed="false">
      <c r="A18" s="9" t="s">
        <v>202</v>
      </c>
      <c r="B18" s="10" t="s">
        <v>321</v>
      </c>
      <c r="C18" s="17" t="n">
        <f aca="false">COUNTIFS('Catalogo de tecnologias'!$B:$B,$B18,'Catalogo de tecnologias'!$H:$H,"★ Candidata fuerte")</f>
        <v>3</v>
      </c>
      <c r="D18" s="17" t="n">
        <f aca="false">COUNTIFS('Catalogo de tecnologias'!$B:$B,$B18,'Catalogo de tecnologias'!$H:$H,"Candidata")</f>
        <v>2</v>
      </c>
      <c r="E18" s="17" t="n">
        <f aca="false">COUNTIFS('Catalogo de tecnologias'!$B:$B,$B18,'Catalogo de tecnologias'!$H:$H,"Descartada")</f>
        <v>1</v>
      </c>
      <c r="F18" s="17" t="n">
        <f aca="false">SUM(C18:E18)</f>
        <v>6</v>
      </c>
    </row>
    <row r="19" customFormat="false" ht="15" hidden="false" customHeight="false" outlineLevel="0" collapsed="false">
      <c r="A19" s="9" t="s">
        <v>202</v>
      </c>
      <c r="B19" s="10" t="s">
        <v>349</v>
      </c>
      <c r="C19" s="17" t="n">
        <f aca="false">COUNTIFS('Catalogo de tecnologias'!$B:$B,$B19,'Catalogo de tecnologias'!$H:$H,"★ Candidata fuerte")</f>
        <v>1</v>
      </c>
      <c r="D19" s="17" t="n">
        <f aca="false">COUNTIFS('Catalogo de tecnologias'!$B:$B,$B19,'Catalogo de tecnologias'!$H:$H,"Candidata")</f>
        <v>0</v>
      </c>
      <c r="E19" s="17" t="n">
        <f aca="false">COUNTIFS('Catalogo de tecnologias'!$B:$B,$B19,'Catalogo de tecnologias'!$H:$H,"Descartada")</f>
        <v>0</v>
      </c>
      <c r="F19" s="17" t="n">
        <f aca="false">SUM(C19:E19)</f>
        <v>1</v>
      </c>
    </row>
    <row r="20" customFormat="false" ht="15" hidden="false" customHeight="false" outlineLevel="0" collapsed="false">
      <c r="A20" s="9" t="s">
        <v>202</v>
      </c>
      <c r="B20" s="10" t="s">
        <v>355</v>
      </c>
      <c r="C20" s="17" t="n">
        <f aca="false">COUNTIFS('Catalogo de tecnologias'!$B:$B,$B20,'Catalogo de tecnologias'!$H:$H,"★ Candidata fuerte")</f>
        <v>0</v>
      </c>
      <c r="D20" s="17" t="n">
        <f aca="false">COUNTIFS('Catalogo de tecnologias'!$B:$B,$B20,'Catalogo de tecnologias'!$H:$H,"Candidata")</f>
        <v>0</v>
      </c>
      <c r="E20" s="17" t="n">
        <f aca="false">COUNTIFS('Catalogo de tecnologias'!$B:$B,$B20,'Catalogo de tecnologias'!$H:$H,"Descartada")</f>
        <v>1</v>
      </c>
      <c r="F20" s="17" t="n">
        <f aca="false">SUM(C20:E20)</f>
        <v>1</v>
      </c>
    </row>
    <row r="21" customFormat="false" ht="15" hidden="false" customHeight="false" outlineLevel="0" collapsed="false">
      <c r="A21" s="9" t="s">
        <v>202</v>
      </c>
      <c r="B21" s="10" t="s">
        <v>361</v>
      </c>
      <c r="C21" s="17" t="n">
        <f aca="false">COUNTIFS('Catalogo de tecnologias'!$B:$B,$B21,'Catalogo de tecnologias'!$H:$H,"★ Candidata fuerte")</f>
        <v>1</v>
      </c>
      <c r="D21" s="17" t="n">
        <f aca="false">COUNTIFS('Catalogo de tecnologias'!$B:$B,$B21,'Catalogo de tecnologias'!$H:$H,"Candidata")</f>
        <v>0</v>
      </c>
      <c r="E21" s="17" t="n">
        <f aca="false">COUNTIFS('Catalogo de tecnologias'!$B:$B,$B21,'Catalogo de tecnologias'!$H:$H,"Descartada")</f>
        <v>1</v>
      </c>
      <c r="F21" s="17" t="n">
        <f aca="false">SUM(C21:E21)</f>
        <v>2</v>
      </c>
    </row>
    <row r="22" customFormat="false" ht="15" hidden="false" customHeight="false" outlineLevel="0" collapsed="false">
      <c r="A22" s="9" t="s">
        <v>202</v>
      </c>
      <c r="B22" s="10" t="s">
        <v>370</v>
      </c>
      <c r="C22" s="17" t="n">
        <f aca="false">COUNTIFS('Catalogo de tecnologias'!$B:$B,$B22,'Catalogo de tecnologias'!$H:$H,"★ Candidata fuerte")</f>
        <v>1</v>
      </c>
      <c r="D22" s="17" t="n">
        <f aca="false">COUNTIFS('Catalogo de tecnologias'!$B:$B,$B22,'Catalogo de tecnologias'!$H:$H,"Candidata")</f>
        <v>1</v>
      </c>
      <c r="E22" s="17" t="n">
        <f aca="false">COUNTIFS('Catalogo de tecnologias'!$B:$B,$B22,'Catalogo de tecnologias'!$H:$H,"Descartada")</f>
        <v>1</v>
      </c>
      <c r="F22" s="17" t="n">
        <f aca="false">SUM(C22:E22)</f>
        <v>3</v>
      </c>
    </row>
    <row r="23" customFormat="false" ht="15" hidden="false" customHeight="false" outlineLevel="0" collapsed="false">
      <c r="A23" s="9" t="s">
        <v>202</v>
      </c>
      <c r="B23" s="10" t="s">
        <v>382</v>
      </c>
      <c r="C23" s="17" t="n">
        <f aca="false">COUNTIFS('Catalogo de tecnologias'!$B:$B,$B23,'Catalogo de tecnologias'!$H:$H,"★ Candidata fuerte")</f>
        <v>1</v>
      </c>
      <c r="D23" s="17" t="n">
        <f aca="false">COUNTIFS('Catalogo de tecnologias'!$B:$B,$B23,'Catalogo de tecnologias'!$H:$H,"Candidata")</f>
        <v>2</v>
      </c>
      <c r="E23" s="17" t="n">
        <f aca="false">COUNTIFS('Catalogo de tecnologias'!$B:$B,$B23,'Catalogo de tecnologias'!$H:$H,"Descartada")</f>
        <v>1</v>
      </c>
      <c r="F23" s="17" t="n">
        <f aca="false">SUM(C23:E23)</f>
        <v>4</v>
      </c>
    </row>
    <row r="24" customFormat="false" ht="15" hidden="false" customHeight="false" outlineLevel="0" collapsed="false">
      <c r="A24" s="9" t="s">
        <v>202</v>
      </c>
      <c r="B24" s="10" t="s">
        <v>402</v>
      </c>
      <c r="C24" s="17" t="n">
        <f aca="false">COUNTIFS('Catalogo de tecnologias'!$B:$B,$B24,'Catalogo de tecnologias'!$H:$H,"★ Candidata fuerte")</f>
        <v>1</v>
      </c>
      <c r="D24" s="17" t="n">
        <f aca="false">COUNTIFS('Catalogo de tecnologias'!$B:$B,$B24,'Catalogo de tecnologias'!$H:$H,"Candidata")</f>
        <v>2</v>
      </c>
      <c r="E24" s="17" t="n">
        <f aca="false">COUNTIFS('Catalogo de tecnologias'!$B:$B,$B24,'Catalogo de tecnologias'!$H:$H,"Descartada")</f>
        <v>1</v>
      </c>
      <c r="F24" s="17" t="n">
        <f aca="false">SUM(C24:E24)</f>
        <v>4</v>
      </c>
    </row>
    <row r="25" customFormat="false" ht="15" hidden="false" customHeight="false" outlineLevel="0" collapsed="false">
      <c r="A25" s="9" t="s">
        <v>202</v>
      </c>
      <c r="B25" s="10" t="s">
        <v>422</v>
      </c>
      <c r="C25" s="17" t="n">
        <f aca="false">COUNTIFS('Catalogo de tecnologias'!$B:$B,$B25,'Catalogo de tecnologias'!$H:$H,"★ Candidata fuerte")</f>
        <v>1</v>
      </c>
      <c r="D25" s="17" t="n">
        <f aca="false">COUNTIFS('Catalogo de tecnologias'!$B:$B,$B25,'Catalogo de tecnologias'!$H:$H,"Candidata")</f>
        <v>2</v>
      </c>
      <c r="E25" s="17" t="n">
        <f aca="false">COUNTIFS('Catalogo de tecnologias'!$B:$B,$B25,'Catalogo de tecnologias'!$H:$H,"Descartada")</f>
        <v>0</v>
      </c>
      <c r="F25" s="17" t="n">
        <f aca="false">SUM(C25:E25)</f>
        <v>3</v>
      </c>
    </row>
    <row r="26" customFormat="false" ht="15" hidden="false" customHeight="false" outlineLevel="0" collapsed="false">
      <c r="A26" s="9" t="s">
        <v>202</v>
      </c>
      <c r="B26" s="10" t="s">
        <v>437</v>
      </c>
      <c r="C26" s="17" t="n">
        <f aca="false">COUNTIFS('Catalogo de tecnologias'!$B:$B,$B26,'Catalogo de tecnologias'!$H:$H,"★ Candidata fuerte")</f>
        <v>1</v>
      </c>
      <c r="D26" s="17" t="n">
        <f aca="false">COUNTIFS('Catalogo de tecnologias'!$B:$B,$B26,'Catalogo de tecnologias'!$H:$H,"Candidata")</f>
        <v>1</v>
      </c>
      <c r="E26" s="17" t="n">
        <f aca="false">COUNTIFS('Catalogo de tecnologias'!$B:$B,$B26,'Catalogo de tecnologias'!$H:$H,"Descartada")</f>
        <v>0</v>
      </c>
      <c r="F26" s="17" t="n">
        <f aca="false">SUM(C26:E26)</f>
        <v>2</v>
      </c>
    </row>
    <row r="27" customFormat="false" ht="15" hidden="false" customHeight="false" outlineLevel="0" collapsed="false">
      <c r="A27" s="9" t="s">
        <v>202</v>
      </c>
      <c r="B27" s="10" t="s">
        <v>445</v>
      </c>
      <c r="C27" s="17" t="n">
        <f aca="false">COUNTIFS('Catalogo de tecnologias'!$B:$B,$B27,'Catalogo de tecnologias'!$H:$H,"★ Candidata fuerte")</f>
        <v>2</v>
      </c>
      <c r="D27" s="17" t="n">
        <f aca="false">COUNTIFS('Catalogo de tecnologias'!$B:$B,$B27,'Catalogo de tecnologias'!$H:$H,"Candidata")</f>
        <v>1</v>
      </c>
      <c r="E27" s="17" t="n">
        <f aca="false">COUNTIFS('Catalogo de tecnologias'!$B:$B,$B27,'Catalogo de tecnologias'!$H:$H,"Descartada")</f>
        <v>1</v>
      </c>
      <c r="F27" s="17" t="n">
        <f aca="false">SUM(C27:E27)</f>
        <v>4</v>
      </c>
    </row>
    <row r="28" customFormat="false" ht="15" hidden="false" customHeight="false" outlineLevel="0" collapsed="false">
      <c r="A28" s="9" t="s">
        <v>202</v>
      </c>
      <c r="B28" s="10" t="s">
        <v>462</v>
      </c>
      <c r="C28" s="17" t="n">
        <f aca="false">COUNTIFS('Catalogo de tecnologias'!$B:$B,$B28,'Catalogo de tecnologias'!$H:$H,"★ Candidata fuerte")</f>
        <v>2</v>
      </c>
      <c r="D28" s="17" t="n">
        <f aca="false">COUNTIFS('Catalogo de tecnologias'!$B:$B,$B28,'Catalogo de tecnologias'!$H:$H,"Candidata")</f>
        <v>0</v>
      </c>
      <c r="E28" s="17" t="n">
        <f aca="false">COUNTIFS('Catalogo de tecnologias'!$B:$B,$B28,'Catalogo de tecnologias'!$H:$H,"Descartada")</f>
        <v>1</v>
      </c>
      <c r="F28" s="17" t="n">
        <f aca="false">SUM(C28:E28)</f>
        <v>3</v>
      </c>
    </row>
    <row r="29" customFormat="false" ht="15" hidden="false" customHeight="false" outlineLevel="0" collapsed="false">
      <c r="A29" s="9" t="s">
        <v>202</v>
      </c>
      <c r="B29" s="10" t="s">
        <v>476</v>
      </c>
      <c r="C29" s="17" t="n">
        <f aca="false">COUNTIFS('Catalogo de tecnologias'!$B:$B,$B29,'Catalogo de tecnologias'!$H:$H,"★ Candidata fuerte")</f>
        <v>1</v>
      </c>
      <c r="D29" s="17" t="n">
        <f aca="false">COUNTIFS('Catalogo de tecnologias'!$B:$B,$B29,'Catalogo de tecnologias'!$H:$H,"Candidata")</f>
        <v>2</v>
      </c>
      <c r="E29" s="17" t="n">
        <f aca="false">COUNTIFS('Catalogo de tecnologias'!$B:$B,$B29,'Catalogo de tecnologias'!$H:$H,"Descartada")</f>
        <v>0</v>
      </c>
      <c r="F29" s="17" t="n">
        <f aca="false">SUM(C29:E29)</f>
        <v>3</v>
      </c>
    </row>
    <row r="30" customFormat="false" ht="15" hidden="false" customHeight="false" outlineLevel="0" collapsed="false">
      <c r="A30" s="9" t="s">
        <v>202</v>
      </c>
      <c r="B30" s="10" t="s">
        <v>487</v>
      </c>
      <c r="C30" s="17" t="n">
        <f aca="false">COUNTIFS('Catalogo de tecnologias'!$B:$B,$B30,'Catalogo de tecnologias'!$H:$H,"★ Candidata fuerte")</f>
        <v>1</v>
      </c>
      <c r="D30" s="17" t="n">
        <f aca="false">COUNTIFS('Catalogo de tecnologias'!$B:$B,$B30,'Catalogo de tecnologias'!$H:$H,"Candidata")</f>
        <v>1</v>
      </c>
      <c r="E30" s="17" t="n">
        <f aca="false">COUNTIFS('Catalogo de tecnologias'!$B:$B,$B30,'Catalogo de tecnologias'!$H:$H,"Descartada")</f>
        <v>0</v>
      </c>
      <c r="F30" s="17" t="n">
        <f aca="false">SUM(C30:E30)</f>
        <v>2</v>
      </c>
    </row>
    <row r="31" customFormat="false" ht="15" hidden="false" customHeight="false" outlineLevel="0" collapsed="false">
      <c r="A31" s="9" t="s">
        <v>202</v>
      </c>
      <c r="B31" s="10" t="s">
        <v>494</v>
      </c>
      <c r="C31" s="17" t="n">
        <f aca="false">COUNTIFS('Catalogo de tecnologias'!$B:$B,$B31,'Catalogo de tecnologias'!$H:$H,"★ Candidata fuerte")</f>
        <v>1</v>
      </c>
      <c r="D31" s="17" t="n">
        <f aca="false">COUNTIFS('Catalogo de tecnologias'!$B:$B,$B31,'Catalogo de tecnologias'!$H:$H,"Candidata")</f>
        <v>1</v>
      </c>
      <c r="E31" s="17" t="n">
        <f aca="false">COUNTIFS('Catalogo de tecnologias'!$B:$B,$B31,'Catalogo de tecnologias'!$H:$H,"Descartada")</f>
        <v>1</v>
      </c>
      <c r="F31" s="17" t="n">
        <f aca="false">SUM(C31:E31)</f>
        <v>3</v>
      </c>
    </row>
    <row r="32" customFormat="false" ht="15" hidden="false" customHeight="false" outlineLevel="0" collapsed="false">
      <c r="A32" s="9" t="s">
        <v>202</v>
      </c>
      <c r="B32" s="10" t="s">
        <v>507</v>
      </c>
      <c r="C32" s="17" t="n">
        <f aca="false">COUNTIFS('Catalogo de tecnologias'!$B:$B,$B32,'Catalogo de tecnologias'!$H:$H,"★ Candidata fuerte")</f>
        <v>2</v>
      </c>
      <c r="D32" s="17" t="n">
        <f aca="false">COUNTIFS('Catalogo de tecnologias'!$B:$B,$B32,'Catalogo de tecnologias'!$H:$H,"Candidata")</f>
        <v>1</v>
      </c>
      <c r="E32" s="17" t="n">
        <f aca="false">COUNTIFS('Catalogo de tecnologias'!$B:$B,$B32,'Catalogo de tecnologias'!$H:$H,"Descartada")</f>
        <v>0</v>
      </c>
      <c r="F32" s="17" t="n">
        <f aca="false">SUM(C32:E32)</f>
        <v>3</v>
      </c>
    </row>
    <row r="33" customFormat="false" ht="15" hidden="false" customHeight="false" outlineLevel="0" collapsed="false">
      <c r="A33" s="9" t="s">
        <v>523</v>
      </c>
      <c r="B33" s="10" t="s">
        <v>524</v>
      </c>
      <c r="C33" s="17" t="n">
        <f aca="false">COUNTIFS('Catalogo de tecnologias'!$B:$B,$B33,'Catalogo de tecnologias'!$H:$H,"★ Candidata fuerte")</f>
        <v>2</v>
      </c>
      <c r="D33" s="17" t="n">
        <f aca="false">COUNTIFS('Catalogo de tecnologias'!$B:$B,$B33,'Catalogo de tecnologias'!$H:$H,"Candidata")</f>
        <v>2</v>
      </c>
      <c r="E33" s="17" t="n">
        <f aca="false">COUNTIFS('Catalogo de tecnologias'!$B:$B,$B33,'Catalogo de tecnologias'!$H:$H,"Descartada")</f>
        <v>1</v>
      </c>
      <c r="F33" s="17" t="n">
        <f aca="false">SUM(C33:E33)</f>
        <v>5</v>
      </c>
    </row>
    <row r="34" customFormat="false" ht="15" hidden="false" customHeight="false" outlineLevel="0" collapsed="false">
      <c r="A34" s="9" t="s">
        <v>523</v>
      </c>
      <c r="B34" s="10" t="s">
        <v>551</v>
      </c>
      <c r="C34" s="17" t="n">
        <f aca="false">COUNTIFS('Catalogo de tecnologias'!$B:$B,$B34,'Catalogo de tecnologias'!$H:$H,"★ Candidata fuerte")</f>
        <v>1</v>
      </c>
      <c r="D34" s="17" t="n">
        <f aca="false">COUNTIFS('Catalogo de tecnologias'!$B:$B,$B34,'Catalogo de tecnologias'!$H:$H,"Candidata")</f>
        <v>1</v>
      </c>
      <c r="E34" s="17" t="n">
        <f aca="false">COUNTIFS('Catalogo de tecnologias'!$B:$B,$B34,'Catalogo de tecnologias'!$H:$H,"Descartada")</f>
        <v>0</v>
      </c>
      <c r="F34" s="17" t="n">
        <f aca="false">SUM(C34:E34)</f>
        <v>2</v>
      </c>
    </row>
    <row r="35" customFormat="false" ht="15" hidden="false" customHeight="false" outlineLevel="0" collapsed="false">
      <c r="A35" s="9" t="s">
        <v>523</v>
      </c>
      <c r="B35" s="10" t="s">
        <v>560</v>
      </c>
      <c r="C35" s="17" t="n">
        <f aca="false">COUNTIFS('Catalogo de tecnologias'!$B:$B,$B35,'Catalogo de tecnologias'!$H:$H,"★ Candidata fuerte")</f>
        <v>1</v>
      </c>
      <c r="D35" s="17" t="n">
        <f aca="false">COUNTIFS('Catalogo de tecnologias'!$B:$B,$B35,'Catalogo de tecnologias'!$H:$H,"Candidata")</f>
        <v>1</v>
      </c>
      <c r="E35" s="17" t="n">
        <f aca="false">COUNTIFS('Catalogo de tecnologias'!$B:$B,$B35,'Catalogo de tecnologias'!$H:$H,"Descartada")</f>
        <v>0</v>
      </c>
      <c r="F35" s="17" t="n">
        <f aca="false">SUM(C35:E35)</f>
        <v>2</v>
      </c>
    </row>
    <row r="36" customFormat="false" ht="15" hidden="false" customHeight="false" outlineLevel="0" collapsed="false">
      <c r="A36" s="9" t="s">
        <v>523</v>
      </c>
      <c r="B36" s="10" t="s">
        <v>568</v>
      </c>
      <c r="C36" s="17" t="n">
        <f aca="false">COUNTIFS('Catalogo de tecnologias'!$B:$B,$B36,'Catalogo de tecnologias'!$H:$H,"★ Candidata fuerte")</f>
        <v>2</v>
      </c>
      <c r="D36" s="17" t="n">
        <f aca="false">COUNTIFS('Catalogo de tecnologias'!$B:$B,$B36,'Catalogo de tecnologias'!$H:$H,"Candidata")</f>
        <v>0</v>
      </c>
      <c r="E36" s="17" t="n">
        <f aca="false">COUNTIFS('Catalogo de tecnologias'!$B:$B,$B36,'Catalogo de tecnologias'!$H:$H,"Descartada")</f>
        <v>0</v>
      </c>
      <c r="F36" s="17" t="n">
        <f aca="false">SUM(C36:E36)</f>
        <v>2</v>
      </c>
    </row>
    <row r="37" customFormat="false" ht="15" hidden="false" customHeight="false" outlineLevel="0" collapsed="false">
      <c r="A37" s="9" t="s">
        <v>523</v>
      </c>
      <c r="B37" s="10" t="s">
        <v>574</v>
      </c>
      <c r="C37" s="17" t="n">
        <f aca="false">COUNTIFS('Catalogo de tecnologias'!$B:$B,$B37,'Catalogo de tecnologias'!$H:$H,"★ Candidata fuerte")</f>
        <v>1</v>
      </c>
      <c r="D37" s="17" t="n">
        <f aca="false">COUNTIFS('Catalogo de tecnologias'!$B:$B,$B37,'Catalogo de tecnologias'!$H:$H,"Candidata")</f>
        <v>1</v>
      </c>
      <c r="E37" s="17" t="n">
        <f aca="false">COUNTIFS('Catalogo de tecnologias'!$B:$B,$B37,'Catalogo de tecnologias'!$H:$H,"Descartada")</f>
        <v>1</v>
      </c>
      <c r="F37" s="17" t="n">
        <f aca="false">SUM(C37:E37)</f>
        <v>3</v>
      </c>
    </row>
    <row r="38" customFormat="false" ht="15" hidden="false" customHeight="false" outlineLevel="0" collapsed="false">
      <c r="A38" s="9" t="s">
        <v>523</v>
      </c>
      <c r="B38" s="10" t="s">
        <v>583</v>
      </c>
      <c r="C38" s="17" t="n">
        <f aca="false">COUNTIFS('Catalogo de tecnologias'!$B:$B,$B38,'Catalogo de tecnologias'!$H:$H,"★ Candidata fuerte")</f>
        <v>2</v>
      </c>
      <c r="D38" s="17" t="n">
        <f aca="false">COUNTIFS('Catalogo de tecnologias'!$B:$B,$B38,'Catalogo de tecnologias'!$H:$H,"Candidata")</f>
        <v>1</v>
      </c>
      <c r="E38" s="17" t="n">
        <f aca="false">COUNTIFS('Catalogo de tecnologias'!$B:$B,$B38,'Catalogo de tecnologias'!$H:$H,"Descartada")</f>
        <v>1</v>
      </c>
      <c r="F38" s="17" t="n">
        <f aca="false">SUM(C38:E38)</f>
        <v>4</v>
      </c>
    </row>
    <row r="39" customFormat="false" ht="15" hidden="false" customHeight="false" outlineLevel="0" collapsed="false">
      <c r="A39" s="9" t="s">
        <v>523</v>
      </c>
      <c r="B39" s="10" t="s">
        <v>602</v>
      </c>
      <c r="C39" s="17" t="n">
        <f aca="false">COUNTIFS('Catalogo de tecnologias'!$B:$B,$B39,'Catalogo de tecnologias'!$H:$H,"★ Candidata fuerte")</f>
        <v>1</v>
      </c>
      <c r="D39" s="17" t="n">
        <f aca="false">COUNTIFS('Catalogo de tecnologias'!$B:$B,$B39,'Catalogo de tecnologias'!$H:$H,"Candidata")</f>
        <v>1</v>
      </c>
      <c r="E39" s="17" t="n">
        <f aca="false">COUNTIFS('Catalogo de tecnologias'!$B:$B,$B39,'Catalogo de tecnologias'!$H:$H,"Descartada")</f>
        <v>0</v>
      </c>
      <c r="F39" s="17" t="n">
        <f aca="false">SUM(C39:E39)</f>
        <v>2</v>
      </c>
    </row>
    <row r="40" customFormat="false" ht="15" hidden="false" customHeight="false" outlineLevel="0" collapsed="false">
      <c r="A40" s="9" t="s">
        <v>610</v>
      </c>
      <c r="B40" s="10" t="s">
        <v>611</v>
      </c>
      <c r="C40" s="17" t="n">
        <f aca="false">COUNTIFS('Catalogo de tecnologias'!$B:$B,$B40,'Catalogo de tecnologias'!$H:$H,"★ Candidata fuerte")</f>
        <v>1</v>
      </c>
      <c r="D40" s="17" t="n">
        <f aca="false">COUNTIFS('Catalogo de tecnologias'!$B:$B,$B40,'Catalogo de tecnologias'!$H:$H,"Candidata")</f>
        <v>1</v>
      </c>
      <c r="E40" s="17" t="n">
        <f aca="false">COUNTIFS('Catalogo de tecnologias'!$B:$B,$B40,'Catalogo de tecnologias'!$H:$H,"Descartada")</f>
        <v>0</v>
      </c>
      <c r="F40" s="17" t="n">
        <f aca="false">SUM(C40:E40)</f>
        <v>2</v>
      </c>
    </row>
    <row r="41" customFormat="false" ht="15" hidden="false" customHeight="false" outlineLevel="0" collapsed="false">
      <c r="A41" s="9" t="s">
        <v>610</v>
      </c>
      <c r="B41" s="10" t="s">
        <v>621</v>
      </c>
      <c r="C41" s="17" t="n">
        <f aca="false">COUNTIFS('Catalogo de tecnologias'!$B:$B,$B41,'Catalogo de tecnologias'!$H:$H,"★ Candidata fuerte")</f>
        <v>1</v>
      </c>
      <c r="D41" s="17" t="n">
        <f aca="false">COUNTIFS('Catalogo de tecnologias'!$B:$B,$B41,'Catalogo de tecnologias'!$H:$H,"Candidata")</f>
        <v>1</v>
      </c>
      <c r="E41" s="17" t="n">
        <f aca="false">COUNTIFS('Catalogo de tecnologias'!$B:$B,$B41,'Catalogo de tecnologias'!$H:$H,"Descartada")</f>
        <v>0</v>
      </c>
      <c r="F41" s="17" t="n">
        <f aca="false">SUM(C41:E41)</f>
        <v>2</v>
      </c>
    </row>
    <row r="42" customFormat="false" ht="23.85" hidden="false" customHeight="false" outlineLevel="0" collapsed="false">
      <c r="A42" s="9" t="s">
        <v>610</v>
      </c>
      <c r="B42" s="10" t="s">
        <v>628</v>
      </c>
      <c r="C42" s="17" t="n">
        <f aca="false">COUNTIFS('Catalogo de tecnologias'!$B:$B,$B42,'Catalogo de tecnologias'!$H:$H,"★ Candidata fuerte")</f>
        <v>1</v>
      </c>
      <c r="D42" s="17" t="n">
        <f aca="false">COUNTIFS('Catalogo de tecnologias'!$B:$B,$B42,'Catalogo de tecnologias'!$H:$H,"Candidata")</f>
        <v>1</v>
      </c>
      <c r="E42" s="17" t="n">
        <f aca="false">COUNTIFS('Catalogo de tecnologias'!$B:$B,$B42,'Catalogo de tecnologias'!$H:$H,"Descartada")</f>
        <v>0</v>
      </c>
      <c r="F42" s="17" t="n">
        <f aca="false">SUM(C42:E42)</f>
        <v>2</v>
      </c>
    </row>
    <row r="43" customFormat="false" ht="15" hidden="false" customHeight="false" outlineLevel="0" collapsed="false">
      <c r="A43" s="9" t="s">
        <v>610</v>
      </c>
      <c r="B43" s="10" t="s">
        <v>636</v>
      </c>
      <c r="C43" s="17" t="n">
        <f aca="false">COUNTIFS('Catalogo de tecnologias'!$B:$B,$B43,'Catalogo de tecnologias'!$H:$H,"★ Candidata fuerte")</f>
        <v>1</v>
      </c>
      <c r="D43" s="17" t="n">
        <f aca="false">COUNTIFS('Catalogo de tecnologias'!$B:$B,$B43,'Catalogo de tecnologias'!$H:$H,"Candidata")</f>
        <v>1</v>
      </c>
      <c r="E43" s="17" t="n">
        <f aca="false">COUNTIFS('Catalogo de tecnologias'!$B:$B,$B43,'Catalogo de tecnologias'!$H:$H,"Descartada")</f>
        <v>0</v>
      </c>
      <c r="F43" s="17" t="n">
        <f aca="false">SUM(C43:E43)</f>
        <v>2</v>
      </c>
    </row>
    <row r="44" customFormat="false" ht="15" hidden="false" customHeight="false" outlineLevel="0" collapsed="false">
      <c r="A44" s="9" t="s">
        <v>610</v>
      </c>
      <c r="B44" s="10" t="s">
        <v>647</v>
      </c>
      <c r="C44" s="17" t="n">
        <f aca="false">COUNTIFS('Catalogo de tecnologias'!$B:$B,$B44,'Catalogo de tecnologias'!$H:$H,"★ Candidata fuerte")</f>
        <v>1</v>
      </c>
      <c r="D44" s="17" t="n">
        <f aca="false">COUNTIFS('Catalogo de tecnologias'!$B:$B,$B44,'Catalogo de tecnologias'!$H:$H,"Candidata")</f>
        <v>1</v>
      </c>
      <c r="E44" s="17" t="n">
        <f aca="false">COUNTIFS('Catalogo de tecnologias'!$B:$B,$B44,'Catalogo de tecnologias'!$H:$H,"Descartada")</f>
        <v>0</v>
      </c>
      <c r="F44" s="17" t="n">
        <f aca="false">SUM(C44:E44)</f>
        <v>2</v>
      </c>
    </row>
    <row r="45" customFormat="false" ht="15" hidden="false" customHeight="false" outlineLevel="0" collapsed="false">
      <c r="A45" s="9" t="s">
        <v>610</v>
      </c>
      <c r="B45" s="10" t="s">
        <v>658</v>
      </c>
      <c r="C45" s="17" t="n">
        <f aca="false">COUNTIFS('Catalogo de tecnologias'!$B:$B,$B45,'Catalogo de tecnologias'!$H:$H,"★ Candidata fuerte")</f>
        <v>1</v>
      </c>
      <c r="D45" s="17" t="n">
        <f aca="false">COUNTIFS('Catalogo de tecnologias'!$B:$B,$B45,'Catalogo de tecnologias'!$H:$H,"Candidata")</f>
        <v>1</v>
      </c>
      <c r="E45" s="17" t="n">
        <f aca="false">COUNTIFS('Catalogo de tecnologias'!$B:$B,$B45,'Catalogo de tecnologias'!$H:$H,"Descartada")</f>
        <v>0</v>
      </c>
      <c r="F45" s="17" t="n">
        <f aca="false">SUM(C45:E45)</f>
        <v>2</v>
      </c>
    </row>
    <row r="46" customFormat="false" ht="23.85" hidden="false" customHeight="false" outlineLevel="0" collapsed="false">
      <c r="A46" s="9" t="s">
        <v>610</v>
      </c>
      <c r="B46" s="10" t="s">
        <v>665</v>
      </c>
      <c r="C46" s="17" t="n">
        <f aca="false">COUNTIFS('Catalogo de tecnologias'!$B:$B,$B46,'Catalogo de tecnologias'!$H:$H,"★ Candidata fuerte")</f>
        <v>1</v>
      </c>
      <c r="D46" s="17" t="n">
        <f aca="false">COUNTIFS('Catalogo de tecnologias'!$B:$B,$B46,'Catalogo de tecnologias'!$H:$H,"Candidata")</f>
        <v>1</v>
      </c>
      <c r="E46" s="17" t="n">
        <f aca="false">COUNTIFS('Catalogo de tecnologias'!$B:$B,$B46,'Catalogo de tecnologias'!$H:$H,"Descartada")</f>
        <v>0</v>
      </c>
      <c r="F46" s="17" t="n">
        <f aca="false">SUM(C46:E46)</f>
        <v>2</v>
      </c>
    </row>
    <row r="47" customFormat="false" ht="15" hidden="false" customHeight="false" outlineLevel="0" collapsed="false">
      <c r="A47" s="9" t="s">
        <v>610</v>
      </c>
      <c r="B47" s="10" t="s">
        <v>673</v>
      </c>
      <c r="C47" s="17" t="n">
        <f aca="false">COUNTIFS('Catalogo de tecnologias'!$B:$B,$B47,'Catalogo de tecnologias'!$H:$H,"★ Candidata fuerte")</f>
        <v>1</v>
      </c>
      <c r="D47" s="17" t="n">
        <f aca="false">COUNTIFS('Catalogo de tecnologias'!$B:$B,$B47,'Catalogo de tecnologias'!$H:$H,"Candidata")</f>
        <v>0</v>
      </c>
      <c r="E47" s="17" t="n">
        <f aca="false">COUNTIFS('Catalogo de tecnologias'!$B:$B,$B47,'Catalogo de tecnologias'!$H:$H,"Descartada")</f>
        <v>0</v>
      </c>
      <c r="F47" s="17" t="n">
        <f aca="false">SUM(C47:E47)</f>
        <v>1</v>
      </c>
    </row>
    <row r="48" customFormat="false" ht="15" hidden="false" customHeight="false" outlineLevel="0" collapsed="false">
      <c r="A48" s="9" t="s">
        <v>610</v>
      </c>
      <c r="B48" s="10" t="s">
        <v>676</v>
      </c>
      <c r="C48" s="17" t="n">
        <f aca="false">COUNTIFS('Catalogo de tecnologias'!$B:$B,$B48,'Catalogo de tecnologias'!$H:$H,"★ Candidata fuerte")</f>
        <v>1</v>
      </c>
      <c r="D48" s="17" t="n">
        <f aca="false">COUNTIFS('Catalogo de tecnologias'!$B:$B,$B48,'Catalogo de tecnologias'!$H:$H,"Candidata")</f>
        <v>1</v>
      </c>
      <c r="E48" s="17" t="n">
        <f aca="false">COUNTIFS('Catalogo de tecnologias'!$B:$B,$B48,'Catalogo de tecnologias'!$H:$H,"Descartada")</f>
        <v>0</v>
      </c>
      <c r="F48" s="17" t="n">
        <f aca="false">SUM(C48:E48)</f>
        <v>2</v>
      </c>
    </row>
    <row r="49" customFormat="false" ht="15" hidden="false" customHeight="false" outlineLevel="0" collapsed="false">
      <c r="A49" s="9" t="s">
        <v>610</v>
      </c>
      <c r="B49" s="10" t="s">
        <v>685</v>
      </c>
      <c r="C49" s="17" t="n">
        <f aca="false">COUNTIFS('Catalogo de tecnologias'!$B:$B,$B49,'Catalogo de tecnologias'!$H:$H,"★ Candidata fuerte")</f>
        <v>2</v>
      </c>
      <c r="D49" s="17" t="n">
        <f aca="false">COUNTIFS('Catalogo de tecnologias'!$B:$B,$B49,'Catalogo de tecnologias'!$H:$H,"Candidata")</f>
        <v>1</v>
      </c>
      <c r="E49" s="17" t="n">
        <f aca="false">COUNTIFS('Catalogo de tecnologias'!$B:$B,$B49,'Catalogo de tecnologias'!$H:$H,"Descartada")</f>
        <v>0</v>
      </c>
      <c r="F49" s="17" t="n">
        <f aca="false">SUM(C49:E49)</f>
        <v>3</v>
      </c>
    </row>
    <row r="50" customFormat="false" ht="15" hidden="false" customHeight="false" outlineLevel="0" collapsed="false">
      <c r="A50" s="9" t="s">
        <v>610</v>
      </c>
      <c r="B50" s="10" t="s">
        <v>698</v>
      </c>
      <c r="C50" s="17" t="n">
        <f aca="false">COUNTIFS('Catalogo de tecnologias'!$B:$B,$B50,'Catalogo de tecnologias'!$H:$H,"★ Candidata fuerte")</f>
        <v>1</v>
      </c>
      <c r="D50" s="17" t="n">
        <f aca="false">COUNTIFS('Catalogo de tecnologias'!$B:$B,$B50,'Catalogo de tecnologias'!$H:$H,"Candidata")</f>
        <v>2</v>
      </c>
      <c r="E50" s="17" t="n">
        <f aca="false">COUNTIFS('Catalogo de tecnologias'!$B:$B,$B50,'Catalogo de tecnologias'!$H:$H,"Descartada")</f>
        <v>1</v>
      </c>
      <c r="F50" s="17" t="n">
        <f aca="false">SUM(C50:E50)</f>
        <v>4</v>
      </c>
    </row>
    <row r="51" customFormat="false" ht="15" hidden="false" customHeight="false" outlineLevel="0" collapsed="false">
      <c r="B51" s="18" t="s">
        <v>722</v>
      </c>
      <c r="C51" s="19" t="n">
        <f aca="false">SUM(C2:C50)</f>
        <v>60</v>
      </c>
      <c r="D51" s="19" t="n">
        <f aca="false">SUM(D2:D50)</f>
        <v>57</v>
      </c>
      <c r="E51" s="19" t="n">
        <f aca="false">SUM(E2:E50)</f>
        <v>23</v>
      </c>
      <c r="F51" s="19" t="n">
        <f aca="false">SUM(F2:F50)</f>
        <v>140</v>
      </c>
    </row>
  </sheetData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2026-09-02T21:54:33Z</dcterms:created>
  <dc:creator>openpyxl</dc:creator>
  <dc:description/>
  <dc:language>en-US</dc:language>
  <cp:lastModifiedBy/>
  <dcterms:modified xsi:type="dcterms:W3CDTF">2026-09-02T21:54:33Z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