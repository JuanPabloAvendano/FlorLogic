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90" yWindow="-110" windowWidth="19420" windowHeight="10300" tabRatio="600" firstSheet="0" activeTab="2" autoFilterDateGrouping="1"/>
  </bookViews>
  <sheets>
    <sheet xmlns:r="http://schemas.openxmlformats.org/officeDocument/2006/relationships" name="1. Trade-Off-QA" sheetId="1" state="visible" r:id="rId1"/>
    <sheet xmlns:r="http://schemas.openxmlformats.org/officeDocument/2006/relationships" name="2. Priorización-QA" sheetId="2" state="visible" r:id="rId2"/>
    <sheet xmlns:r="http://schemas.openxmlformats.org/officeDocument/2006/relationships" name="3. Caracterización" sheetId="3" state="visible" r:id="rId3"/>
    <sheet xmlns:r="http://schemas.openxmlformats.org/officeDocument/2006/relationships" name="4, Lluvia-de-Escenarios" sheetId="4" state="visible" r:id="rId4"/>
    <sheet xmlns:r="http://schemas.openxmlformats.org/officeDocument/2006/relationships" name="Top 65 - Priorizadas" sheetId="5" state="visible" r:id="rId5"/>
  </sheets>
  <definedNames>
    <definedName name="_xlnm._FilterDatabase" localSheetId="3" hidden="1">'4, Lluvia-de-Escenarios'!$A$1:$Q$66</definedName>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Calibri"/>
      <charset val="1"/>
      <family val="2"/>
      <color theme="1"/>
      <sz val="11"/>
    </font>
    <font>
      <name val="Arial"/>
      <family val="2"/>
      <sz val="10"/>
    </font>
    <font>
      <name val="Aptos Narrow"/>
      <family val="2"/>
      <color rgb="FF000000"/>
      <sz val="11"/>
      <scheme val="minor"/>
    </font>
    <font>
      <name val="Arial"/>
      <family val="2"/>
      <b val="1"/>
      <color rgb="FFFFFFFF"/>
      <sz val="11"/>
    </font>
    <font>
      <b val="1"/>
      <color rgb="FFFFFFFF"/>
      <sz val="10"/>
    </font>
    <font>
      <sz val="10"/>
    </font>
    <font>
      <b val="1"/>
      <sz val="10"/>
    </font>
    <font>
      <i val="1"/>
      <sz val="9"/>
    </font>
  </fonts>
  <fills count="10">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C1F0C8"/>
        <bgColor rgb="FF000000"/>
      </patternFill>
    </fill>
    <fill>
      <patternFill patternType="solid">
        <fgColor rgb="FFC6EFCE"/>
        <bgColor rgb="FF000000"/>
      </patternFill>
    </fill>
    <fill>
      <patternFill patternType="solid">
        <fgColor rgb="FF4472C4"/>
      </patternFill>
    </fill>
    <fill>
      <patternFill patternType="solid">
        <fgColor rgb="FFEDF2FA"/>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rgb="FFB4C6E7"/>
      </left>
      <right style="thin">
        <color rgb="FFB4C6E7"/>
      </right>
      <top style="thin">
        <color rgb="FFB4C6E7"/>
      </top>
      <bottom style="thin">
        <color rgb="FFB4C6E7"/>
      </bottom>
    </border>
  </borders>
  <cellStyleXfs count="2">
    <xf numFmtId="0" fontId="0" fillId="0" borderId="0"/>
    <xf numFmtId="0" fontId="2" fillId="0" borderId="0"/>
  </cellStyleXfs>
  <cellXfs count="42">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 fillId="0" borderId="1" pivotButton="0" quotePrefix="0" xfId="0"/>
    <xf numFmtId="0" fontId="0" fillId="2" borderId="1" pivotButton="0" quotePrefix="0" xfId="0"/>
    <xf numFmtId="10" fontId="0" fillId="2" borderId="1" pivotButton="0" quotePrefix="0" xfId="0"/>
    <xf numFmtId="0" fontId="0" fillId="3" borderId="1" pivotButton="0" quotePrefix="0" xfId="0"/>
    <xf numFmtId="0" fontId="0" fillId="4" borderId="1" pivotButton="0" quotePrefix="0" xfId="0"/>
    <xf numFmtId="10" fontId="0" fillId="4" borderId="1" pivotButton="0" quotePrefix="0" xfId="0"/>
    <xf numFmtId="10" fontId="0" fillId="0" borderId="0" pivotButton="0" quotePrefix="0" xfId="0"/>
    <xf numFmtId="0" fontId="0" fillId="2" borderId="4" pivotButton="0" quotePrefix="0" xfId="0"/>
    <xf numFmtId="0" fontId="0" fillId="3" borderId="4" pivotButton="0" quotePrefix="0" xfId="0"/>
    <xf numFmtId="0" fontId="0" fillId="0" borderId="5" pivotButton="0" quotePrefix="0" xfId="0"/>
    <xf numFmtId="0" fontId="0" fillId="3" borderId="5" pivotButton="0" quotePrefix="0" xfId="0"/>
    <xf numFmtId="0" fontId="3" fillId="0" borderId="6" applyAlignment="1" pivotButton="0" quotePrefix="0" xfId="1">
      <alignment horizontal="left" vertical="top" wrapText="1"/>
    </xf>
    <xf numFmtId="0" fontId="3" fillId="0" borderId="7" applyAlignment="1" pivotButton="0" quotePrefix="0" xfId="1">
      <alignment horizontal="left" vertical="top" wrapText="1"/>
    </xf>
    <xf numFmtId="0" fontId="0" fillId="5" borderId="1" pivotButton="0" quotePrefix="0" xfId="0"/>
    <xf numFmtId="0" fontId="4" fillId="6" borderId="8" pivotButton="0" quotePrefix="0" xfId="0"/>
    <xf numFmtId="0" fontId="4" fillId="6" borderId="8" applyAlignment="1" pivotButton="0" quotePrefix="0" xfId="0">
      <alignment wrapText="1"/>
    </xf>
    <xf numFmtId="0" fontId="4" fillId="7" borderId="8" pivotButton="0" quotePrefix="0" xfId="0"/>
    <xf numFmtId="0" fontId="4" fillId="7" borderId="8" applyAlignment="1" pivotButton="0" quotePrefix="0" xfId="0">
      <alignment wrapText="1"/>
    </xf>
    <xf numFmtId="0" fontId="3" fillId="0" borderId="6" pivotButton="0" quotePrefix="0" xfId="0"/>
    <xf numFmtId="0" fontId="5" fillId="8" borderId="0" applyAlignment="1" pivotButton="0" quotePrefix="0" xfId="0">
      <alignment horizontal="center" vertical="center" wrapText="1"/>
    </xf>
    <xf numFmtId="0" fontId="0" fillId="0" borderId="0" applyAlignment="1" pivotButton="0" quotePrefix="0" xfId="0">
      <alignment vertical="top" wrapText="1"/>
    </xf>
    <xf numFmtId="0" fontId="0" fillId="0" borderId="2" applyAlignment="1" pivotButton="0" quotePrefix="0" xfId="0">
      <alignment horizontal="center"/>
    </xf>
    <xf numFmtId="0" fontId="0" fillId="0" borderId="2" pivotButton="0" quotePrefix="0" xfId="0"/>
    <xf numFmtId="0" fontId="1" fillId="0" borderId="1" applyAlignment="1" pivotButton="0" quotePrefix="0" xfId="0">
      <alignment horizontal="center" vertical="center"/>
    </xf>
    <xf numFmtId="0" fontId="0" fillId="0" borderId="9" pivotButton="0" quotePrefix="0" xfId="0"/>
    <xf numFmtId="0" fontId="0" fillId="0" borderId="10" pivotButton="0" quotePrefix="0" xfId="0"/>
    <xf numFmtId="0" fontId="0" fillId="0" borderId="3" pivotButton="0" quotePrefix="0" xfId="0"/>
    <xf numFmtId="0" fontId="1" fillId="0" borderId="1" applyAlignment="1" pivotButton="0" quotePrefix="0" xfId="0">
      <alignment horizontal="center"/>
    </xf>
    <xf numFmtId="0" fontId="0" fillId="0" borderId="0" applyAlignment="1" pivotButton="0" quotePrefix="0" xfId="0">
      <alignment vertical="top" wrapText="1"/>
    </xf>
    <xf numFmtId="0" fontId="0" fillId="0" borderId="0" pivotButton="0" quotePrefix="0" xfId="0"/>
    <xf numFmtId="0" fontId="6" fillId="8" borderId="15" applyAlignment="1" pivotButton="0" quotePrefix="0" xfId="0">
      <alignment horizontal="center" vertical="center" wrapText="1"/>
    </xf>
    <xf numFmtId="0" fontId="8" fillId="0" borderId="15" applyAlignment="1" pivotButton="0" quotePrefix="0" xfId="0">
      <alignment horizontal="center" vertical="top" wrapText="1"/>
    </xf>
    <xf numFmtId="0" fontId="7" fillId="0" borderId="15" applyAlignment="1" pivotButton="0" quotePrefix="0" xfId="0">
      <alignment horizontal="left" vertical="top" wrapText="1"/>
    </xf>
    <xf numFmtId="0" fontId="7" fillId="0" borderId="15" applyAlignment="1" pivotButton="0" quotePrefix="0" xfId="0">
      <alignment horizontal="center" vertical="top" wrapText="1"/>
    </xf>
    <xf numFmtId="0" fontId="8" fillId="9" borderId="15" applyAlignment="1" pivotButton="0" quotePrefix="0" xfId="0">
      <alignment horizontal="center" vertical="top" wrapText="1"/>
    </xf>
    <xf numFmtId="0" fontId="7" fillId="9" borderId="15" applyAlignment="1" pivotButton="0" quotePrefix="0" xfId="0">
      <alignment horizontal="left" vertical="top" wrapText="1"/>
    </xf>
    <xf numFmtId="0" fontId="7" fillId="9" borderId="15" applyAlignment="1" pivotButton="0" quotePrefix="0" xfId="0">
      <alignment horizontal="center" vertical="top" wrapText="1"/>
    </xf>
    <xf numFmtId="0" fontId="9" fillId="0" borderId="0" applyAlignment="1" pivotButton="0" quotePrefix="0" xfId="0">
      <alignmen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Mapa de empatía</a:t>
            </a:r>
          </a:p>
        </rich>
      </tx>
      <overlay val="0"/>
      <spPr>
        <a:noFill xmlns:a="http://schemas.openxmlformats.org/drawingml/2006/main"/>
        <a:ln xmlns:a="http://schemas.openxmlformats.org/drawingml/2006/main">
          <a:noFill/>
          <a:prstDash val="solid"/>
        </a:ln>
      </spPr>
    </title>
    <plotArea>
      <layout/>
      <radarChart>
        <radarStyle val="marker"/>
        <varyColors val="0"/>
        <ser>
          <idx val="0"/>
          <order val="0"/>
          <tx>
            <strRef>
              <f>'2. Priorización-QA'!$B$1:$B$2</f>
              <strCache>
                <ptCount val="2"/>
                <pt idx="0">
                  <v>&lt;---Actores----&gt;</v>
                </pt>
                <pt idx="1">
                  <v>Supervisor de Campo</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'2. Priorización-QA'!$A$3:$A$15</f>
              <strCache>
                <ptCount val="13"/>
                <pt idx="0">
                  <v>Confiabilidad</v>
                </pt>
                <pt idx="1">
                  <v>Disponibilidad</v>
                </pt>
                <pt idx="2">
                  <v>Rendimiento</v>
                </pt>
                <pt idx="3">
                  <v>Capacidad para ser Auditado</v>
                </pt>
                <pt idx="4">
                  <v>Capacidad</v>
                </pt>
                <pt idx="5">
                  <v>Capacidad para ser Administrado</v>
                </pt>
                <pt idx="6">
                  <v>Experiencia de Usuario</v>
                </pt>
                <pt idx="7">
                  <v>Seguridad</v>
                </pt>
                <pt idx="8">
                  <v>Interoperatividad</v>
                </pt>
                <pt idx="9">
                  <v>Escalabilidad</v>
                </pt>
                <pt idx="10">
                  <v>Capacidad para ser Soportado</v>
                </pt>
                <pt idx="11">
                  <v>Portabilidad</v>
                </pt>
                <pt idx="12">
                  <v>Accesibilidad</v>
                </pt>
              </strCache>
            </strRef>
          </cat>
          <val>
            <numRef>
              <f>'2. Priorización-QA'!$B$3:$B$15</f>
              <numCache>
                <formatCode>General</formatCode>
                <ptCount val="13"/>
                <pt idx="0">
                  <v>1</v>
                </pt>
                <pt idx="1">
                  <v>2</v>
                </pt>
                <pt idx="2">
                  <v>3</v>
                </pt>
                <pt idx="3">
                  <v>9</v>
                </pt>
                <pt idx="4">
                  <v>11</v>
                </pt>
                <pt idx="5">
                  <v>13</v>
                </pt>
                <pt idx="6">
                  <v>6</v>
                </pt>
                <pt idx="7">
                  <v>10</v>
                </pt>
                <pt idx="8">
                  <v>5</v>
                </pt>
                <pt idx="9">
                  <v>8</v>
                </pt>
                <pt idx="10">
                  <v>12</v>
                </pt>
                <pt idx="11">
                  <v>4</v>
                </pt>
                <pt idx="12">
                  <v>7</v>
                </pt>
              </numCache>
            </numRef>
          </val>
        </ser>
        <ser>
          <idx val="1"/>
          <order val="1"/>
          <tx>
            <strRef>
              <f>'2. Priorización-QA'!$C$1:$C$2</f>
              <strCache>
                <ptCount val="2"/>
                <pt idx="0">
                  <v>&lt;---Actores----&gt;</v>
                </pt>
                <pt idx="1">
                  <v>Gerente de producción</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'2. Priorización-QA'!$A$3:$A$15</f>
              <strCache>
                <ptCount val="13"/>
                <pt idx="0">
                  <v>Confiabilidad</v>
                </pt>
                <pt idx="1">
                  <v>Disponibilidad</v>
                </pt>
                <pt idx="2">
                  <v>Rendimiento</v>
                </pt>
                <pt idx="3">
                  <v>Capacidad para ser Auditado</v>
                </pt>
                <pt idx="4">
                  <v>Capacidad</v>
                </pt>
                <pt idx="5">
                  <v>Capacidad para ser Administrado</v>
                </pt>
                <pt idx="6">
                  <v>Experiencia de Usuario</v>
                </pt>
                <pt idx="7">
                  <v>Seguridad</v>
                </pt>
                <pt idx="8">
                  <v>Interoperatividad</v>
                </pt>
                <pt idx="9">
                  <v>Escalabilidad</v>
                </pt>
                <pt idx="10">
                  <v>Capacidad para ser Soportado</v>
                </pt>
                <pt idx="11">
                  <v>Portabilidad</v>
                </pt>
                <pt idx="12">
                  <v>Accesibilidad</v>
                </pt>
              </strCache>
            </strRef>
          </cat>
          <val>
            <numRef>
              <f>'2. Priorización-QA'!$C$3:$C$15</f>
              <numCache>
                <formatCode>General</formatCode>
                <ptCount val="13"/>
                <pt idx="0">
                  <v>1</v>
                </pt>
                <pt idx="1">
                  <v>2</v>
                </pt>
                <pt idx="2">
                  <v>5</v>
                </pt>
                <pt idx="3">
                  <v>4</v>
                </pt>
                <pt idx="4">
                  <v>3</v>
                </pt>
                <pt idx="5">
                  <v>7</v>
                </pt>
                <pt idx="6">
                  <v>6</v>
                </pt>
                <pt idx="7">
                  <v>8</v>
                </pt>
                <pt idx="8">
                  <v>10</v>
                </pt>
                <pt idx="9">
                  <v>9</v>
                </pt>
                <pt idx="10">
                  <v>13</v>
                </pt>
                <pt idx="11">
                  <v>11</v>
                </pt>
                <pt idx="12">
                  <v>12</v>
                </pt>
              </numCache>
            </numRef>
          </val>
        </ser>
        <ser>
          <idx val="2"/>
          <order val="2"/>
          <tx>
            <strRef>
              <f>'2. Priorización-QA'!$D$1:$D$2</f>
              <strCache>
                <ptCount val="2"/>
                <pt idx="0">
                  <v>&lt;---Actores----&gt;</v>
                </pt>
                <pt idx="1">
                  <v>Administrador del sistema</v>
                </pt>
              </strCache>
            </strRef>
          </tx>
          <spPr>
            <a:ln xmlns:a="http://schemas.openxmlformats.org/drawingml/2006/main" w="28575" cap="rnd">
              <a:solidFill>
                <a:schemeClr val="accent3"/>
              </a:solidFill>
              <a:prstDash val="solid"/>
              <a:round/>
            </a:ln>
          </spPr>
          <marker>
            <symbol val="circle"/>
            <size val="5"/>
            <spPr>
              <a:solidFill xmlns:a="http://schemas.openxmlformats.org/drawingml/2006/main">
                <a:schemeClr val="accent3"/>
              </a:solidFill>
              <a:ln xmlns:a="http://schemas.openxmlformats.org/drawingml/2006/main" w="9525">
                <a:solidFill>
                  <a:schemeClr val="accent3"/>
                </a:solidFill>
                <a:prstDash val="solid"/>
              </a:ln>
            </spPr>
          </marker>
          <cat>
            <strRef>
              <f>'2. Priorización-QA'!$A$3:$A$15</f>
              <strCache>
                <ptCount val="13"/>
                <pt idx="0">
                  <v>Confiabilidad</v>
                </pt>
                <pt idx="1">
                  <v>Disponibilidad</v>
                </pt>
                <pt idx="2">
                  <v>Rendimiento</v>
                </pt>
                <pt idx="3">
                  <v>Capacidad para ser Auditado</v>
                </pt>
                <pt idx="4">
                  <v>Capacidad</v>
                </pt>
                <pt idx="5">
                  <v>Capacidad para ser Administrado</v>
                </pt>
                <pt idx="6">
                  <v>Experiencia de Usuario</v>
                </pt>
                <pt idx="7">
                  <v>Seguridad</v>
                </pt>
                <pt idx="8">
                  <v>Interoperatividad</v>
                </pt>
                <pt idx="9">
                  <v>Escalabilidad</v>
                </pt>
                <pt idx="10">
                  <v>Capacidad para ser Soportado</v>
                </pt>
                <pt idx="11">
                  <v>Portabilidad</v>
                </pt>
                <pt idx="12">
                  <v>Accesibilidad</v>
                </pt>
              </strCache>
            </strRef>
          </cat>
          <val>
            <numRef>
              <f>'2. Priorización-QA'!$D$3:$D$15</f>
              <numCache>
                <formatCode>General</formatCode>
                <ptCount val="13"/>
                <pt idx="0">
                  <v>1</v>
                </pt>
                <pt idx="1">
                  <v>7</v>
                </pt>
                <pt idx="2">
                  <v>9</v>
                </pt>
                <pt idx="3">
                  <v>4</v>
                </pt>
                <pt idx="4">
                  <v>5</v>
                </pt>
                <pt idx="5">
                  <v>3</v>
                </pt>
                <pt idx="6">
                  <v>12</v>
                </pt>
                <pt idx="7">
                  <v>6</v>
                </pt>
                <pt idx="8">
                  <v>10</v>
                </pt>
                <pt idx="9">
                  <v>8</v>
                </pt>
                <pt idx="10">
                  <v>2</v>
                </pt>
                <pt idx="11">
                  <v>13</v>
                </pt>
                <pt idx="12">
                  <v>11</v>
                </pt>
              </numCache>
            </numRef>
          </val>
        </ser>
        <dLbls>
          <showLegendKey val="0"/>
          <showVal val="0"/>
          <showCatName val="0"/>
          <showSerName val="0"/>
          <showPercent val="0"/>
          <showBubbleSize val="0"/>
        </dLbls>
        <axId val="1557421040"/>
        <axId val="1557409040"/>
      </radarChart>
      <catAx>
        <axId val="155742104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1557409040"/>
        <crosses val="autoZero"/>
        <auto val="1"/>
        <lblAlgn val="ctr"/>
        <lblOffset val="100"/>
        <noMultiLvlLbl val="0"/>
      </catAx>
      <valAx>
        <axId val="155740904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1557421040"/>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-3810</colOff>
      <row>17</row>
      <rowOff>65722</rowOff>
    </from>
    <to>
      <col>4</col>
      <colOff>939165</colOff>
      <row>45</row>
      <rowOff>55245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E33"/>
  <sheetViews>
    <sheetView zoomScaleNormal="100" workbookViewId="0">
      <selection activeCell="Z17" sqref="Z17"/>
    </sheetView>
  </sheetViews>
  <sheetFormatPr baseColWidth="10" defaultRowHeight="14.25"/>
  <cols>
    <col width="37.46484375" customWidth="1" style="33" min="1" max="1"/>
    <col width="10.53125" customWidth="1" style="33" min="2" max="2"/>
    <col width="3.796875" customWidth="1" style="33" min="3" max="15"/>
    <col width="2.1328125" customWidth="1" style="33" min="16" max="16"/>
    <col width="30.33203125" customWidth="1" style="33" min="17" max="17"/>
    <col width="10.1328125" customWidth="1" style="33" min="18" max="18"/>
    <col width="3.86328125" customWidth="1" style="33" min="19" max="31"/>
  </cols>
  <sheetData>
    <row r="1">
      <c r="A1" s="25" t="inlineStr">
        <is>
          <t>Atributos propuestos por usuario</t>
        </is>
      </c>
      <c r="B1" s="26" t="n"/>
      <c r="C1" s="26" t="n"/>
      <c r="D1" s="26" t="n"/>
      <c r="E1" s="26" t="n"/>
      <c r="F1" s="26" t="n"/>
      <c r="G1" s="26" t="n"/>
      <c r="H1" s="26" t="n"/>
      <c r="I1" s="26" t="n"/>
      <c r="J1" s="26" t="n"/>
      <c r="K1" s="26" t="n"/>
      <c r="L1" s="26" t="n"/>
      <c r="M1" s="26" t="n"/>
      <c r="N1" s="26" t="n"/>
      <c r="O1" s="26" t="n"/>
      <c r="Q1" s="25" t="inlineStr">
        <is>
          <t>Atributos Promediados entre usuario y Arquitectos</t>
        </is>
      </c>
      <c r="R1" s="26" t="n"/>
      <c r="S1" s="26" t="n"/>
      <c r="T1" s="26" t="n"/>
      <c r="U1" s="26" t="n"/>
      <c r="V1" s="26" t="n"/>
      <c r="W1" s="26" t="n"/>
      <c r="X1" s="26" t="n"/>
      <c r="Y1" s="26" t="n"/>
      <c r="Z1" s="26" t="n"/>
      <c r="AA1" s="26" t="n"/>
      <c r="AB1" s="26" t="n"/>
      <c r="AC1" s="26" t="n"/>
      <c r="AD1" s="26" t="n"/>
      <c r="AE1" s="26" t="n"/>
    </row>
    <row r="2">
      <c r="A2" s="27" t="inlineStr">
        <is>
          <t>Atributos de Calidad</t>
        </is>
      </c>
      <c r="B2" s="27" t="inlineStr">
        <is>
          <t>Prioridad</t>
        </is>
      </c>
      <c r="C2" s="27" t="inlineStr">
        <is>
          <t>&lt;----Prioridad----&gt;</t>
        </is>
      </c>
      <c r="D2" s="28" t="n"/>
      <c r="E2" s="28" t="n"/>
      <c r="F2" s="28" t="n"/>
      <c r="G2" s="28" t="n"/>
      <c r="H2" s="28" t="n"/>
      <c r="I2" s="28" t="n"/>
      <c r="J2" s="28" t="n"/>
      <c r="K2" s="28" t="n"/>
      <c r="L2" s="28" t="n"/>
      <c r="M2" s="28" t="n"/>
      <c r="N2" s="28" t="n"/>
      <c r="O2" s="29" t="n"/>
      <c r="P2" s="1" t="n"/>
      <c r="Q2" s="27" t="inlineStr">
        <is>
          <t>Atributos de Calidad</t>
        </is>
      </c>
      <c r="R2" s="27" t="inlineStr">
        <is>
          <t>Prioridad</t>
        </is>
      </c>
      <c r="S2" s="27" t="inlineStr">
        <is>
          <t>&lt;----Prioridad----&gt;</t>
        </is>
      </c>
      <c r="T2" s="28" t="n"/>
      <c r="U2" s="28" t="n"/>
      <c r="V2" s="28" t="n"/>
      <c r="W2" s="28" t="n"/>
      <c r="X2" s="28" t="n"/>
      <c r="Y2" s="28" t="n"/>
      <c r="Z2" s="28" t="n"/>
      <c r="AA2" s="28" t="n"/>
      <c r="AB2" s="28" t="n"/>
      <c r="AC2" s="28" t="n"/>
      <c r="AD2" s="28" t="n"/>
      <c r="AE2" s="29" t="n"/>
    </row>
    <row r="3">
      <c r="A3" s="30" t="n"/>
      <c r="B3" s="30" t="n"/>
      <c r="C3" s="2" t="n">
        <v>1</v>
      </c>
      <c r="D3" s="2" t="n">
        <v>2</v>
      </c>
      <c r="E3" s="2" t="n">
        <v>3</v>
      </c>
      <c r="F3" s="2" t="n">
        <v>4</v>
      </c>
      <c r="G3" s="2" t="n">
        <v>5</v>
      </c>
      <c r="H3" s="2" t="n">
        <v>6</v>
      </c>
      <c r="I3" s="2" t="n">
        <v>7</v>
      </c>
      <c r="J3" s="2" t="n">
        <v>8</v>
      </c>
      <c r="K3" s="2" t="n">
        <v>9</v>
      </c>
      <c r="L3" s="2" t="n">
        <v>10</v>
      </c>
      <c r="M3" s="2" t="n">
        <v>11</v>
      </c>
      <c r="N3" s="2" t="n">
        <v>12</v>
      </c>
      <c r="O3" s="2" t="n">
        <v>13</v>
      </c>
      <c r="P3" s="1" t="n"/>
      <c r="Q3" s="30" t="n"/>
      <c r="R3" s="30" t="n"/>
      <c r="S3" s="2" t="n">
        <v>1</v>
      </c>
      <c r="T3" s="2" t="n">
        <v>2</v>
      </c>
      <c r="U3" s="2" t="n">
        <v>3</v>
      </c>
      <c r="V3" s="2" t="n">
        <v>4</v>
      </c>
      <c r="W3" s="2" t="n">
        <v>5</v>
      </c>
      <c r="X3" s="2" t="n">
        <v>6</v>
      </c>
      <c r="Y3" s="2" t="n">
        <v>7</v>
      </c>
      <c r="Z3" s="2" t="n">
        <v>8</v>
      </c>
      <c r="AA3" s="2" t="n">
        <v>9</v>
      </c>
      <c r="AB3" s="2" t="n">
        <v>10</v>
      </c>
      <c r="AC3" s="2" t="n">
        <v>11</v>
      </c>
      <c r="AD3" s="2" t="n">
        <v>12</v>
      </c>
      <c r="AE3" s="2" t="n">
        <v>13</v>
      </c>
    </row>
    <row r="4">
      <c r="A4" s="3" t="inlineStr">
        <is>
          <t>Confiabilidad</t>
        </is>
      </c>
      <c r="B4" s="3" t="n">
        <v>1</v>
      </c>
      <c r="C4" s="7" t="n"/>
      <c r="D4" s="3" t="n"/>
      <c r="E4" s="3" t="n"/>
      <c r="F4" s="3" t="n"/>
      <c r="G4" s="3" t="n"/>
      <c r="H4" s="3" t="n"/>
      <c r="I4" s="3" t="n"/>
      <c r="J4" s="3" t="n"/>
      <c r="K4" s="3" t="n"/>
      <c r="L4" s="3" t="n"/>
      <c r="M4" s="3" t="n"/>
      <c r="N4" s="3" t="n"/>
      <c r="O4" s="3" t="n"/>
      <c r="Q4" s="3" t="inlineStr">
        <is>
          <t>Confiabilidad</t>
        </is>
      </c>
      <c r="R4" s="3" t="n">
        <v>1</v>
      </c>
      <c r="S4" s="7" t="n"/>
      <c r="T4" s="3" t="n"/>
      <c r="U4" s="3" t="n"/>
      <c r="V4" s="3" t="n"/>
      <c r="W4" s="3" t="n"/>
      <c r="X4" s="3" t="n"/>
      <c r="Y4" s="3" t="n"/>
      <c r="Z4" s="3" t="n"/>
      <c r="AA4" s="3" t="n"/>
      <c r="AB4" s="3" t="n"/>
      <c r="AC4" s="3" t="n"/>
      <c r="AD4" s="3" t="n"/>
      <c r="AE4" s="3" t="n"/>
    </row>
    <row r="5">
      <c r="A5" s="3" t="inlineStr">
        <is>
          <t>Experiencia de Usuario</t>
        </is>
      </c>
      <c r="B5" s="3" t="n">
        <v>2</v>
      </c>
      <c r="C5" s="3" t="n"/>
      <c r="D5" s="7" t="n"/>
      <c r="E5" s="3" t="n"/>
      <c r="F5" s="3" t="n"/>
      <c r="G5" s="3" t="n"/>
      <c r="H5" s="3" t="n"/>
      <c r="I5" s="3" t="n"/>
      <c r="J5" s="3" t="n"/>
      <c r="K5" s="3" t="n"/>
      <c r="L5" s="3" t="n"/>
      <c r="M5" s="3" t="n"/>
      <c r="N5" s="3" t="n"/>
      <c r="O5" s="3" t="n"/>
      <c r="Q5" s="3" t="inlineStr">
        <is>
          <t>Capacidad para ser Auditado</t>
        </is>
      </c>
      <c r="R5" s="3" t="n">
        <v>2</v>
      </c>
      <c r="S5" s="3" t="n"/>
      <c r="T5" s="7" t="n"/>
      <c r="U5" s="3" t="n"/>
      <c r="V5" s="3" t="n"/>
      <c r="W5" s="3" t="n"/>
      <c r="X5" s="3" t="n"/>
      <c r="Y5" s="3" t="n"/>
      <c r="Z5" s="3" t="n"/>
      <c r="AA5" s="3" t="n"/>
      <c r="AB5" s="3" t="n"/>
      <c r="AC5" s="3" t="n"/>
      <c r="AD5" s="3" t="n"/>
      <c r="AE5" s="3" t="n"/>
    </row>
    <row r="6">
      <c r="A6" s="3" t="inlineStr">
        <is>
          <t>Disponibilidad</t>
        </is>
      </c>
      <c r="B6" s="3" t="n">
        <v>3</v>
      </c>
      <c r="C6" s="3" t="n"/>
      <c r="D6" s="3" t="n"/>
      <c r="E6" s="7" t="n"/>
      <c r="F6" s="3" t="n"/>
      <c r="G6" s="3" t="n"/>
      <c r="H6" s="3" t="n"/>
      <c r="I6" s="3" t="n"/>
      <c r="J6" s="3" t="n"/>
      <c r="K6" s="3" t="n"/>
      <c r="L6" s="3" t="n"/>
      <c r="M6" s="3" t="n"/>
      <c r="N6" s="3" t="n"/>
      <c r="O6" s="3" t="n"/>
      <c r="Q6" s="3" t="inlineStr">
        <is>
          <t>Rendimiento</t>
        </is>
      </c>
      <c r="R6" s="3" t="n">
        <v>3</v>
      </c>
      <c r="S6" s="3" t="n"/>
      <c r="T6" s="3" t="n"/>
      <c r="U6" s="7" t="n"/>
      <c r="V6" s="3" t="n"/>
      <c r="W6" s="3" t="n"/>
      <c r="X6" s="3" t="n"/>
      <c r="Y6" s="3" t="n"/>
      <c r="Z6" s="3" t="n"/>
      <c r="AA6" s="3" t="n"/>
      <c r="AB6" s="3" t="n"/>
      <c r="AC6" s="3" t="n"/>
      <c r="AD6" s="3" t="n"/>
      <c r="AE6" s="3" t="n"/>
    </row>
    <row r="7">
      <c r="A7" s="3" t="inlineStr">
        <is>
          <t>Seguridad</t>
        </is>
      </c>
      <c r="B7" s="3" t="n">
        <v>4</v>
      </c>
      <c r="C7" s="3" t="n"/>
      <c r="D7" s="3" t="n"/>
      <c r="E7" s="3" t="n"/>
      <c r="F7" s="7" t="n"/>
      <c r="G7" s="3" t="n"/>
      <c r="H7" s="3" t="n"/>
      <c r="I7" s="3" t="n"/>
      <c r="J7" s="3" t="n"/>
      <c r="K7" s="3" t="n"/>
      <c r="L7" s="3" t="n"/>
      <c r="M7" s="3" t="n"/>
      <c r="N7" s="3" t="n"/>
      <c r="O7" s="3" t="n"/>
      <c r="Q7" s="3" t="inlineStr">
        <is>
          <t>Seguridad</t>
        </is>
      </c>
      <c r="R7" s="3" t="n">
        <v>4</v>
      </c>
      <c r="S7" s="3" t="n"/>
      <c r="T7" s="3" t="n"/>
      <c r="U7" s="3" t="n"/>
      <c r="V7" s="7" t="n"/>
      <c r="W7" s="3" t="n"/>
      <c r="X7" s="3" t="n"/>
      <c r="Y7" s="3" t="n"/>
      <c r="Z7" s="3" t="n"/>
      <c r="AA7" s="3" t="n"/>
      <c r="AB7" s="3" t="n"/>
      <c r="AC7" s="3" t="n"/>
      <c r="AD7" s="3" t="n"/>
      <c r="AE7" s="3" t="n"/>
    </row>
    <row r="8">
      <c r="A8" s="3" t="inlineStr">
        <is>
          <t>Rendimiento</t>
        </is>
      </c>
      <c r="B8" s="3" t="n">
        <v>5</v>
      </c>
      <c r="C8" s="3" t="n"/>
      <c r="D8" s="3" t="n"/>
      <c r="E8" s="3" t="n"/>
      <c r="F8" s="3" t="n"/>
      <c r="G8" s="7" t="n"/>
      <c r="H8" s="3" t="n"/>
      <c r="I8" s="3" t="n"/>
      <c r="J8" s="3" t="n"/>
      <c r="K8" s="3" t="n"/>
      <c r="L8" s="3" t="n"/>
      <c r="M8" s="3" t="n"/>
      <c r="N8" s="3" t="n"/>
      <c r="O8" s="3" t="n"/>
      <c r="Q8" s="3" t="inlineStr">
        <is>
          <t>Experiencia de Usuario</t>
        </is>
      </c>
      <c r="R8" s="3" t="n">
        <v>5</v>
      </c>
      <c r="S8" s="3" t="n"/>
      <c r="T8" s="3" t="n"/>
      <c r="U8" s="3" t="n"/>
      <c r="V8" s="3" t="n"/>
      <c r="W8" s="7" t="n"/>
      <c r="X8" s="3" t="n"/>
      <c r="Y8" s="3" t="n"/>
      <c r="Z8" s="3" t="n"/>
      <c r="AA8" s="3" t="n"/>
      <c r="AB8" s="3" t="n"/>
      <c r="AC8" s="3" t="n"/>
      <c r="AD8" s="3" t="n"/>
      <c r="AE8" s="3" t="n"/>
    </row>
    <row r="9">
      <c r="A9" s="3" t="inlineStr">
        <is>
          <t>Capacidad para ser Soportado</t>
        </is>
      </c>
      <c r="B9" s="3" t="n">
        <v>6</v>
      </c>
      <c r="C9" s="3" t="n"/>
      <c r="D9" s="3" t="n"/>
      <c r="E9" s="3" t="n"/>
      <c r="F9" s="3" t="n"/>
      <c r="G9" s="3" t="n"/>
      <c r="H9" s="7" t="n"/>
      <c r="I9" s="3" t="n"/>
      <c r="J9" s="3" t="n"/>
      <c r="K9" s="3" t="n"/>
      <c r="L9" s="3" t="n"/>
      <c r="M9" s="3" t="n"/>
      <c r="N9" s="3" t="n"/>
      <c r="O9" s="3" t="n"/>
      <c r="Q9" s="3" t="inlineStr">
        <is>
          <t>Disponibilidad</t>
        </is>
      </c>
      <c r="R9" s="3" t="n">
        <v>6</v>
      </c>
      <c r="S9" s="3" t="n"/>
      <c r="T9" s="3" t="n"/>
      <c r="U9" s="3" t="n"/>
      <c r="V9" s="3" t="n"/>
      <c r="W9" s="3" t="n"/>
      <c r="X9" s="7" t="n"/>
      <c r="Y9" s="3" t="n"/>
      <c r="Z9" s="3" t="n"/>
      <c r="AA9" s="3" t="n"/>
      <c r="AB9" s="3" t="n"/>
      <c r="AC9" s="3" t="n"/>
      <c r="AD9" s="3" t="n"/>
      <c r="AE9" s="3" t="n"/>
    </row>
    <row r="10">
      <c r="A10" s="3" t="inlineStr">
        <is>
          <t>Capacidad para ser Administrado</t>
        </is>
      </c>
      <c r="B10" s="3" t="n">
        <v>7</v>
      </c>
      <c r="C10" s="3" t="n"/>
      <c r="D10" s="3" t="n"/>
      <c r="E10" s="3" t="n"/>
      <c r="F10" s="3" t="n"/>
      <c r="G10" s="3" t="n"/>
      <c r="H10" s="5" t="n"/>
      <c r="I10" s="7" t="n"/>
      <c r="J10" s="3" t="n"/>
      <c r="K10" s="3" t="n"/>
      <c r="L10" s="3" t="n"/>
      <c r="M10" s="3" t="n"/>
      <c r="N10" s="3" t="n"/>
      <c r="O10" s="3" t="n"/>
      <c r="Q10" s="3" t="inlineStr">
        <is>
          <t>Escalabilidad</t>
        </is>
      </c>
      <c r="R10" s="3" t="n">
        <v>7</v>
      </c>
      <c r="S10" s="3" t="n"/>
      <c r="T10" s="3" t="n"/>
      <c r="U10" s="3" t="n"/>
      <c r="V10" s="3" t="n"/>
      <c r="W10" s="3" t="n"/>
      <c r="X10" s="3" t="n"/>
      <c r="Y10" s="7" t="n"/>
      <c r="Z10" s="3" t="n"/>
      <c r="AA10" s="3" t="n"/>
      <c r="AB10" s="3" t="n"/>
      <c r="AC10" s="3" t="n"/>
      <c r="AD10" s="3" t="n"/>
      <c r="AE10" s="3" t="n"/>
    </row>
    <row r="11">
      <c r="A11" s="3" t="inlineStr">
        <is>
          <t>Portabilidad</t>
        </is>
      </c>
      <c r="B11" s="3" t="n">
        <v>8</v>
      </c>
      <c r="C11" s="3" t="n"/>
      <c r="D11" s="3" t="n"/>
      <c r="E11" s="3" t="n"/>
      <c r="F11" s="3" t="n"/>
      <c r="G11" s="3" t="n"/>
      <c r="H11" s="3" t="n"/>
      <c r="I11" s="3" t="n"/>
      <c r="J11" s="7" t="n"/>
      <c r="K11" s="3" t="n"/>
      <c r="L11" s="3" t="n"/>
      <c r="M11" s="3" t="n"/>
      <c r="N11" s="3" t="n"/>
      <c r="O11" s="3" t="n"/>
      <c r="Q11" s="3" t="inlineStr">
        <is>
          <t>Capacidad para ser Administrado</t>
        </is>
      </c>
      <c r="R11" s="3" t="n">
        <v>8</v>
      </c>
      <c r="S11" s="3" t="n"/>
      <c r="T11" s="3" t="n"/>
      <c r="U11" s="3" t="n"/>
      <c r="V11" s="3" t="n"/>
      <c r="W11" s="3" t="n"/>
      <c r="X11" s="3" t="n"/>
      <c r="Y11" s="3" t="n"/>
      <c r="Z11" s="7" t="n"/>
      <c r="AA11" s="3" t="n"/>
      <c r="AB11" s="3" t="n"/>
      <c r="AC11" s="3" t="n"/>
      <c r="AD11" s="3" t="n"/>
      <c r="AE11" s="3" t="n"/>
    </row>
    <row r="12">
      <c r="A12" s="3" t="inlineStr">
        <is>
          <t>Capacidad</t>
        </is>
      </c>
      <c r="B12" s="3" t="n">
        <v>9</v>
      </c>
      <c r="C12" s="3" t="n"/>
      <c r="D12" s="3" t="n"/>
      <c r="E12" s="3" t="n"/>
      <c r="F12" s="3" t="n"/>
      <c r="G12" s="3" t="n"/>
      <c r="H12" s="3" t="n"/>
      <c r="I12" s="3" t="n"/>
      <c r="J12" s="3" t="n"/>
      <c r="K12" s="7" t="n"/>
      <c r="L12" s="3" t="n"/>
      <c r="M12" s="3" t="n"/>
      <c r="N12" s="3" t="n"/>
      <c r="O12" s="3" t="n"/>
      <c r="Q12" s="3" t="inlineStr">
        <is>
          <t>Portabilidad</t>
        </is>
      </c>
      <c r="R12" s="3" t="n">
        <v>9</v>
      </c>
      <c r="S12" s="3" t="n"/>
      <c r="T12" s="3" t="n"/>
      <c r="U12" s="3" t="n"/>
      <c r="V12" s="3" t="n"/>
      <c r="W12" s="3" t="n"/>
      <c r="X12" s="3" t="n"/>
      <c r="Y12" s="3" t="n"/>
      <c r="Z12" s="3" t="n"/>
      <c r="AA12" s="7" t="n"/>
      <c r="AB12" s="3" t="n"/>
      <c r="AC12" s="3" t="n"/>
      <c r="AD12" s="3" t="n"/>
      <c r="AE12" s="3" t="n"/>
    </row>
    <row r="13">
      <c r="A13" s="3" t="inlineStr">
        <is>
          <t>Accesibilidad</t>
        </is>
      </c>
      <c r="B13" s="3" t="n">
        <v>10</v>
      </c>
      <c r="C13" s="3" t="n"/>
      <c r="D13" s="3" t="n"/>
      <c r="E13" s="3" t="n"/>
      <c r="F13" s="3" t="n"/>
      <c r="G13" s="3" t="n"/>
      <c r="H13" s="3" t="n"/>
      <c r="I13" s="3" t="n"/>
      <c r="J13" s="3" t="n"/>
      <c r="K13" s="3" t="n"/>
      <c r="L13" s="7" t="n"/>
      <c r="M13" s="3" t="n"/>
      <c r="N13" s="3" t="n"/>
      <c r="O13" s="3" t="n"/>
      <c r="Q13" s="3" t="inlineStr">
        <is>
          <t>Capacidad</t>
        </is>
      </c>
      <c r="R13" s="3" t="n">
        <v>10</v>
      </c>
      <c r="S13" s="3" t="n"/>
      <c r="T13" s="3" t="n"/>
      <c r="U13" s="3" t="n"/>
      <c r="V13" s="3" t="n"/>
      <c r="W13" s="3" t="n"/>
      <c r="X13" s="3" t="n"/>
      <c r="Y13" s="3" t="n"/>
      <c r="Z13" s="3" t="n"/>
      <c r="AA13" s="3" t="n"/>
      <c r="AB13" s="7" t="n"/>
      <c r="AC13" s="3" t="n"/>
      <c r="AD13" s="3" t="n"/>
      <c r="AE13" s="3" t="n"/>
    </row>
    <row r="14">
      <c r="A14" s="3" t="inlineStr">
        <is>
          <t>Capacidad para ser Auditado</t>
        </is>
      </c>
      <c r="B14" s="3" t="n">
        <v>11</v>
      </c>
      <c r="C14" s="3" t="n"/>
      <c r="D14" s="3" t="n"/>
      <c r="E14" s="3" t="n"/>
      <c r="F14" s="3" t="n"/>
      <c r="G14" s="3" t="n"/>
      <c r="H14" s="3" t="n"/>
      <c r="I14" s="3" t="n"/>
      <c r="J14" s="5" t="n"/>
      <c r="K14" s="3" t="n"/>
      <c r="L14" s="3" t="n"/>
      <c r="M14" s="7" t="n"/>
      <c r="N14" s="3" t="n"/>
      <c r="O14" s="3" t="n"/>
      <c r="Q14" s="3" t="inlineStr">
        <is>
          <t>Capacidad para ser Soportado</t>
        </is>
      </c>
      <c r="R14" s="3" t="n">
        <v>11</v>
      </c>
      <c r="S14" s="3" t="n"/>
      <c r="T14" s="3" t="n"/>
      <c r="U14" s="3" t="n"/>
      <c r="V14" s="3" t="n"/>
      <c r="W14" s="3" t="n"/>
      <c r="X14" s="3" t="n"/>
      <c r="Y14" s="3" t="n"/>
      <c r="Z14" s="3" t="n"/>
      <c r="AA14" s="3" t="n"/>
      <c r="AB14" s="3" t="n"/>
      <c r="AC14" s="7" t="n"/>
      <c r="AD14" s="3" t="n"/>
      <c r="AE14" s="3" t="n"/>
    </row>
    <row r="15">
      <c r="A15" s="3" t="inlineStr">
        <is>
          <t>Escalabilidad</t>
        </is>
      </c>
      <c r="B15" s="3" t="n">
        <v>12</v>
      </c>
      <c r="C15" s="3" t="n"/>
      <c r="D15" s="3" t="n"/>
      <c r="E15" s="3" t="n"/>
      <c r="F15" s="3" t="n"/>
      <c r="G15" s="3" t="n"/>
      <c r="H15" s="3" t="n"/>
      <c r="I15" s="3" t="n"/>
      <c r="J15" s="3" t="n"/>
      <c r="K15" s="3" t="n"/>
      <c r="L15" s="3" t="n"/>
      <c r="M15" s="3" t="n"/>
      <c r="N15" s="7" t="n"/>
      <c r="O15" s="3" t="n"/>
      <c r="Q15" s="3" t="inlineStr">
        <is>
          <t>Interoperatividad</t>
        </is>
      </c>
      <c r="R15" s="3" t="n">
        <v>12</v>
      </c>
      <c r="S15" s="3" t="n"/>
      <c r="T15" s="3" t="n"/>
      <c r="U15" s="3" t="n"/>
      <c r="V15" s="3" t="n"/>
      <c r="W15" s="3" t="n"/>
      <c r="X15" s="3" t="n"/>
      <c r="Y15" s="3" t="n"/>
      <c r="Z15" s="3" t="n"/>
      <c r="AA15" s="3" t="n"/>
      <c r="AB15" s="3" t="n"/>
      <c r="AC15" s="3" t="n"/>
      <c r="AD15" s="7" t="n"/>
      <c r="AE15" s="3" t="n"/>
    </row>
    <row r="16">
      <c r="A16" s="3" t="inlineStr">
        <is>
          <t>Interoperatividad</t>
        </is>
      </c>
      <c r="B16" s="3" t="n">
        <v>13</v>
      </c>
      <c r="C16" s="3" t="n"/>
      <c r="D16" s="3" t="n"/>
      <c r="E16" s="3" t="n"/>
      <c r="F16" s="3" t="n"/>
      <c r="G16" s="3" t="n"/>
      <c r="H16" s="3" t="n"/>
      <c r="I16" s="3" t="n"/>
      <c r="J16" s="3" t="n"/>
      <c r="K16" s="3" t="n"/>
      <c r="L16" s="3" t="n"/>
      <c r="M16" s="3" t="n"/>
      <c r="N16" s="3" t="n"/>
      <c r="O16" s="7" t="n"/>
      <c r="Q16" s="3" t="inlineStr">
        <is>
          <t>Accesibilidad</t>
        </is>
      </c>
      <c r="R16" s="3" t="n">
        <v>13</v>
      </c>
      <c r="S16" s="3" t="n"/>
      <c r="T16" s="3" t="n"/>
      <c r="U16" s="3" t="n"/>
      <c r="V16" s="3" t="n"/>
      <c r="W16" s="3" t="n"/>
      <c r="X16" s="3" t="n"/>
      <c r="Y16" s="3" t="n"/>
      <c r="Z16" s="3" t="n"/>
      <c r="AA16" s="3" t="n"/>
      <c r="AB16" s="3" t="n"/>
      <c r="AC16" s="3" t="n"/>
      <c r="AD16" s="3" t="n"/>
      <c r="AE16" s="7" t="n"/>
    </row>
    <row r="18">
      <c r="A18" s="25" t="inlineStr">
        <is>
          <t>Atributos Propuestos por Arquitectos</t>
        </is>
      </c>
      <c r="B18" s="26" t="n"/>
      <c r="C18" s="26" t="n"/>
      <c r="D18" s="26" t="n"/>
      <c r="E18" s="26" t="n"/>
      <c r="F18" s="26" t="n"/>
      <c r="G18" s="26" t="n"/>
      <c r="H18" s="26" t="n"/>
      <c r="I18" s="26" t="n"/>
      <c r="J18" s="26" t="n"/>
      <c r="K18" s="26" t="n"/>
      <c r="L18" s="26" t="n"/>
      <c r="M18" s="26" t="n"/>
      <c r="N18" s="26" t="n"/>
      <c r="O18" s="26" t="n"/>
    </row>
    <row r="19">
      <c r="A19" s="27" t="inlineStr">
        <is>
          <t>Atributos de Calidad</t>
        </is>
      </c>
      <c r="B19" s="27" t="inlineStr">
        <is>
          <t>Prioridad</t>
        </is>
      </c>
      <c r="C19" s="27" t="inlineStr">
        <is>
          <t>&lt;----Prioridad----&gt;</t>
        </is>
      </c>
      <c r="D19" s="28" t="n"/>
      <c r="E19" s="28" t="n"/>
      <c r="F19" s="28" t="n"/>
      <c r="G19" s="28" t="n"/>
      <c r="H19" s="28" t="n"/>
      <c r="I19" s="28" t="n"/>
      <c r="J19" s="28" t="n"/>
      <c r="K19" s="28" t="n"/>
      <c r="L19" s="28" t="n"/>
      <c r="M19" s="28" t="n"/>
      <c r="N19" s="28" t="n"/>
      <c r="O19" s="29" t="n"/>
    </row>
    <row r="20">
      <c r="A20" s="30" t="n"/>
      <c r="B20" s="30" t="n"/>
      <c r="C20" s="2" t="n">
        <v>1</v>
      </c>
      <c r="D20" s="2" t="n">
        <v>2</v>
      </c>
      <c r="E20" s="2" t="n">
        <v>3</v>
      </c>
      <c r="F20" s="2" t="n">
        <v>4</v>
      </c>
      <c r="G20" s="2" t="n">
        <v>5</v>
      </c>
      <c r="H20" s="2" t="n">
        <v>6</v>
      </c>
      <c r="I20" s="2" t="n">
        <v>7</v>
      </c>
      <c r="J20" s="2" t="n">
        <v>8</v>
      </c>
      <c r="K20" s="2" t="n">
        <v>9</v>
      </c>
      <c r="L20" s="2" t="n">
        <v>10</v>
      </c>
      <c r="M20" s="2" t="n">
        <v>11</v>
      </c>
      <c r="N20" s="2" t="n">
        <v>12</v>
      </c>
      <c r="O20" s="2" t="n">
        <v>13</v>
      </c>
    </row>
    <row r="21">
      <c r="A21" s="3" t="inlineStr">
        <is>
          <t>Confiabilidad</t>
        </is>
      </c>
      <c r="B21" s="3" t="n">
        <v>1</v>
      </c>
      <c r="C21" s="7" t="n"/>
      <c r="D21" s="5" t="n"/>
      <c r="E21" s="5" t="n"/>
      <c r="F21" s="5" t="n"/>
      <c r="G21" s="5" t="n"/>
      <c r="H21" s="5" t="n"/>
      <c r="I21" s="5" t="n"/>
      <c r="J21" s="5" t="n"/>
      <c r="K21" s="5" t="n"/>
      <c r="L21" s="5" t="n"/>
      <c r="M21" s="5" t="n"/>
      <c r="N21" s="5" t="n"/>
      <c r="O21" s="5" t="n"/>
    </row>
    <row r="22">
      <c r="A22" s="3" t="inlineStr">
        <is>
          <t>Disponibilidad</t>
        </is>
      </c>
      <c r="B22" s="3" t="n">
        <v>2</v>
      </c>
      <c r="C22" s="5" t="n"/>
      <c r="D22" s="7" t="n"/>
      <c r="E22" s="5" t="n"/>
      <c r="F22" s="5" t="n"/>
      <c r="G22" s="5" t="n"/>
      <c r="H22" s="5" t="n"/>
      <c r="I22" s="5" t="n"/>
      <c r="J22" s="5" t="n"/>
      <c r="K22" s="5" t="n"/>
      <c r="L22" s="5" t="n"/>
      <c r="M22" s="5" t="n"/>
      <c r="N22" s="5" t="n"/>
      <c r="O22" s="5" t="n"/>
    </row>
    <row r="23">
      <c r="A23" s="3" t="inlineStr">
        <is>
          <t>Capacidad</t>
        </is>
      </c>
      <c r="B23" s="3" t="n">
        <v>3</v>
      </c>
      <c r="C23" s="5" t="n"/>
      <c r="D23" s="5" t="n"/>
      <c r="E23" s="7" t="n"/>
      <c r="F23" s="5" t="n"/>
      <c r="G23" s="5" t="n"/>
      <c r="H23" s="5" t="n"/>
      <c r="I23" s="5" t="n"/>
      <c r="J23" s="5" t="n"/>
      <c r="K23" s="5" t="n"/>
      <c r="L23" s="5" t="n"/>
      <c r="M23" s="3" t="n"/>
      <c r="N23" s="5" t="n"/>
      <c r="O23" s="5" t="n"/>
    </row>
    <row r="24">
      <c r="A24" s="3" t="inlineStr">
        <is>
          <t>Rendimiento</t>
        </is>
      </c>
      <c r="B24" s="3" t="n">
        <v>4</v>
      </c>
      <c r="C24" s="5" t="n"/>
      <c r="D24" s="5" t="n"/>
      <c r="E24" s="3" t="n"/>
      <c r="F24" s="7" t="n"/>
      <c r="G24" s="5" t="n"/>
      <c r="H24" s="5" t="n"/>
      <c r="I24" s="5" t="n"/>
      <c r="J24" s="5" t="n"/>
      <c r="K24" s="5" t="n"/>
      <c r="L24" s="5" t="n"/>
      <c r="M24" s="5" t="n"/>
      <c r="N24" s="5" t="n"/>
      <c r="O24" s="5" t="n"/>
    </row>
    <row r="25">
      <c r="A25" s="3" t="inlineStr">
        <is>
          <t>Capacidad para ser Auditado</t>
        </is>
      </c>
      <c r="B25" s="3" t="n">
        <v>5</v>
      </c>
      <c r="C25" s="5" t="n"/>
      <c r="D25" s="5" t="n"/>
      <c r="E25" s="5" t="n"/>
      <c r="F25" s="3" t="n"/>
      <c r="G25" s="7" t="n"/>
      <c r="H25" s="5" t="n"/>
      <c r="I25" s="5" t="n"/>
      <c r="J25" s="5" t="n"/>
      <c r="K25" s="5" t="n"/>
      <c r="L25" s="5" t="n"/>
      <c r="M25" s="5" t="n"/>
      <c r="N25" s="5" t="n"/>
      <c r="O25" s="5" t="n"/>
    </row>
    <row r="26">
      <c r="A26" s="3" t="inlineStr">
        <is>
          <t>Capacidad para ser Administrado</t>
        </is>
      </c>
      <c r="B26" s="3" t="n">
        <v>6</v>
      </c>
      <c r="C26" s="5" t="n"/>
      <c r="D26" s="5" t="n"/>
      <c r="E26" s="5" t="n"/>
      <c r="F26" s="5" t="n"/>
      <c r="G26" s="5" t="n"/>
      <c r="H26" s="7" t="n"/>
      <c r="I26" s="5" t="n"/>
      <c r="J26" s="5" t="n"/>
      <c r="K26" s="5" t="n"/>
      <c r="L26" s="5" t="n"/>
      <c r="M26" s="5" t="n"/>
      <c r="N26" s="5" t="n"/>
      <c r="O26" s="5" t="n"/>
    </row>
    <row r="27">
      <c r="A27" s="3" t="inlineStr">
        <is>
          <t>Interoperatividad</t>
        </is>
      </c>
      <c r="B27" s="3" t="n">
        <v>7</v>
      </c>
      <c r="C27" s="5" t="n"/>
      <c r="D27" s="5" t="n"/>
      <c r="E27" s="5" t="n"/>
      <c r="F27" s="5" t="n"/>
      <c r="G27" s="5" t="n"/>
      <c r="H27" s="5" t="n"/>
      <c r="I27" s="7" t="n"/>
      <c r="J27" s="5" t="n"/>
      <c r="K27" s="3" t="n"/>
      <c r="L27" s="3" t="n"/>
      <c r="M27" s="3" t="n"/>
      <c r="N27" s="5" t="n"/>
      <c r="O27" s="5" t="n"/>
    </row>
    <row r="28">
      <c r="A28" s="3" t="inlineStr">
        <is>
          <t>Experiencia de Usuario</t>
        </is>
      </c>
      <c r="B28" s="3" t="n">
        <v>8</v>
      </c>
      <c r="C28" s="5" t="n"/>
      <c r="D28" s="3" t="n"/>
      <c r="E28" s="5" t="n"/>
      <c r="F28" s="3" t="n"/>
      <c r="G28" s="3" t="n"/>
      <c r="H28" s="3" t="n"/>
      <c r="I28" s="3" t="n"/>
      <c r="J28" s="7" t="n"/>
      <c r="K28" s="5" t="n"/>
      <c r="L28" s="5" t="n"/>
      <c r="M28" s="5" t="n"/>
      <c r="N28" s="5" t="n"/>
      <c r="O28" s="5" t="n"/>
    </row>
    <row r="29">
      <c r="A29" s="3" t="inlineStr">
        <is>
          <t>Seguridad</t>
        </is>
      </c>
      <c r="B29" s="3" t="n">
        <v>9</v>
      </c>
      <c r="C29" s="5" t="n"/>
      <c r="D29" s="5" t="n"/>
      <c r="E29" s="5" t="n"/>
      <c r="F29" s="5" t="n"/>
      <c r="G29" s="5" t="n"/>
      <c r="H29" s="3" t="n"/>
      <c r="I29" s="3" t="n"/>
      <c r="J29" s="3" t="n"/>
      <c r="K29" s="7" t="n"/>
      <c r="L29" s="5" t="n"/>
      <c r="M29" s="5" t="n"/>
      <c r="N29" s="11" t="n"/>
      <c r="O29" s="13" t="n"/>
    </row>
    <row r="30">
      <c r="A30" s="3" t="inlineStr">
        <is>
          <t>Portabilidad</t>
        </is>
      </c>
      <c r="B30" s="3" t="n">
        <v>10</v>
      </c>
      <c r="C30" s="5" t="n"/>
      <c r="D30" s="5" t="n"/>
      <c r="E30" s="5" t="n"/>
      <c r="F30" s="5" t="n"/>
      <c r="G30" s="5" t="n"/>
      <c r="H30" s="5" t="n"/>
      <c r="I30" s="5" t="n"/>
      <c r="J30" s="3" t="n"/>
      <c r="K30" s="3" t="n"/>
      <c r="L30" s="7" t="n"/>
      <c r="M30" s="5" t="n"/>
      <c r="N30" s="11" t="n"/>
      <c r="O30" s="13" t="n"/>
    </row>
    <row r="31">
      <c r="A31" s="3" t="inlineStr">
        <is>
          <t>Capacidad para ser Soportado</t>
        </is>
      </c>
      <c r="B31" s="3" t="n">
        <v>11</v>
      </c>
      <c r="C31" s="5" t="n"/>
      <c r="D31" s="5" t="n"/>
      <c r="E31" s="5" t="n"/>
      <c r="F31" s="5" t="n"/>
      <c r="G31" s="5" t="n"/>
      <c r="H31" s="5" t="n"/>
      <c r="I31" s="5" t="n"/>
      <c r="J31" s="5" t="n"/>
      <c r="K31" s="5" t="n"/>
      <c r="L31" s="5" t="n"/>
      <c r="M31" s="7" t="n"/>
      <c r="N31" s="11" t="n"/>
      <c r="O31" s="13" t="n"/>
    </row>
    <row r="32">
      <c r="A32" s="3" t="inlineStr">
        <is>
          <t>Accesibilidad</t>
        </is>
      </c>
      <c r="B32" s="3" t="n">
        <v>12</v>
      </c>
      <c r="C32" s="5" t="n"/>
      <c r="D32" s="5" t="n"/>
      <c r="E32" s="5" t="n"/>
      <c r="F32" s="5" t="n"/>
      <c r="G32" s="5" t="n"/>
      <c r="H32" s="5" t="n"/>
      <c r="I32" s="5" t="n"/>
      <c r="J32" s="5" t="n"/>
      <c r="K32" s="5" t="n"/>
      <c r="L32" s="5" t="n"/>
      <c r="M32" s="3" t="n"/>
      <c r="N32" s="12" t="n"/>
      <c r="O32" s="13" t="n"/>
    </row>
    <row r="33">
      <c r="A33" s="3" t="inlineStr">
        <is>
          <t>Escalabilidad</t>
        </is>
      </c>
      <c r="B33" s="3" t="n">
        <v>13</v>
      </c>
      <c r="C33" s="5" t="n"/>
      <c r="D33" s="5" t="n"/>
      <c r="E33" s="5" t="n"/>
      <c r="F33" s="5" t="n"/>
      <c r="G33" s="5" t="n"/>
      <c r="H33" s="5" t="n"/>
      <c r="I33" s="5" t="n"/>
      <c r="J33" s="5" t="n"/>
      <c r="K33" s="5" t="n"/>
      <c r="L33" s="5" t="n"/>
      <c r="M33" s="5" t="n"/>
      <c r="N33" s="11" t="n"/>
      <c r="O33" s="14" t="n"/>
    </row>
  </sheetData>
  <mergeCells count="12">
    <mergeCell ref="Q1:AE1"/>
    <mergeCell ref="C19:O19"/>
    <mergeCell ref="B19:B20"/>
    <mergeCell ref="A1:O1"/>
    <mergeCell ref="B2:B3"/>
    <mergeCell ref="Q2:Q3"/>
    <mergeCell ref="A2:A3"/>
    <mergeCell ref="R2:R3"/>
    <mergeCell ref="A18:O18"/>
    <mergeCell ref="S2:AE2"/>
    <mergeCell ref="A19:A20"/>
    <mergeCell ref="C2:O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8"/>
  <sheetViews>
    <sheetView topLeftCell="A4" workbookViewId="0">
      <selection activeCell="B16" sqref="B16"/>
    </sheetView>
  </sheetViews>
  <sheetFormatPr baseColWidth="10" defaultRowHeight="14.25"/>
  <cols>
    <col width="27.86328125" customWidth="1" style="33" min="1" max="1"/>
    <col width="22" customWidth="1" style="33" min="2" max="2"/>
    <col width="22.1328125" customWidth="1" style="33" min="3" max="3"/>
    <col width="25.19921875" customWidth="1" style="33" min="4" max="4"/>
    <col width="15.6640625" customWidth="1" style="33" min="5" max="5"/>
    <col width="10.33203125" customWidth="1" style="33" min="6" max="6"/>
  </cols>
  <sheetData>
    <row r="1">
      <c r="A1" s="27" t="inlineStr">
        <is>
          <t>Atributos de calidad</t>
        </is>
      </c>
      <c r="B1" s="31" t="inlineStr">
        <is>
          <t>&lt;---Actores----&gt;</t>
        </is>
      </c>
      <c r="C1" s="28" t="n"/>
      <c r="D1" s="29" t="n"/>
      <c r="E1" s="4" t="n"/>
      <c r="F1" s="4" t="n"/>
    </row>
    <row r="2">
      <c r="A2" s="30" t="n"/>
      <c r="B2" s="4" t="inlineStr">
        <is>
          <t>Supervisor de Campo</t>
        </is>
      </c>
      <c r="C2" s="4" t="inlineStr">
        <is>
          <t>Gerente de producción</t>
        </is>
      </c>
      <c r="D2" s="4" t="inlineStr">
        <is>
          <t>Administrador del sistema</t>
        </is>
      </c>
      <c r="E2" s="4" t="inlineStr">
        <is>
          <t>Puntuación total</t>
        </is>
      </c>
      <c r="F2" s="3" t="inlineStr">
        <is>
          <t>Porcentaje</t>
        </is>
      </c>
    </row>
    <row r="3">
      <c r="A3" s="8" t="inlineStr">
        <is>
          <t>Confiabilidad</t>
        </is>
      </c>
      <c r="B3" s="8" t="n">
        <v>1</v>
      </c>
      <c r="C3" s="8" t="n">
        <v>1</v>
      </c>
      <c r="D3" s="8" t="n">
        <v>1</v>
      </c>
      <c r="E3" s="8">
        <f>SUM(B3:D3)</f>
        <v/>
      </c>
      <c r="F3" s="9">
        <f>E3/E$16</f>
        <v/>
      </c>
    </row>
    <row r="4">
      <c r="A4" s="8" t="inlineStr">
        <is>
          <t>Disponibilidad</t>
        </is>
      </c>
      <c r="B4" s="8" t="n">
        <v>2</v>
      </c>
      <c r="C4" s="8" t="n">
        <v>2</v>
      </c>
      <c r="D4" s="8" t="n">
        <v>7</v>
      </c>
      <c r="E4" s="8">
        <f>SUM(B4:D4)</f>
        <v/>
      </c>
      <c r="F4" s="9">
        <f>E4/E$16</f>
        <v/>
      </c>
    </row>
    <row r="5">
      <c r="A5" s="8" t="inlineStr">
        <is>
          <t>Rendimiento</t>
        </is>
      </c>
      <c r="B5" s="8" t="n">
        <v>3</v>
      </c>
      <c r="C5" s="8" t="n">
        <v>5</v>
      </c>
      <c r="D5" s="8" t="n">
        <v>9</v>
      </c>
      <c r="E5" s="8">
        <f>SUM(B5:D5)</f>
        <v/>
      </c>
      <c r="F5" s="9">
        <f>E5/E$16</f>
        <v/>
      </c>
    </row>
    <row r="6">
      <c r="A6" s="8" t="inlineStr">
        <is>
          <t>Capacidad para ser Auditado</t>
        </is>
      </c>
      <c r="B6" s="8" t="n">
        <v>9</v>
      </c>
      <c r="C6" s="8" t="n">
        <v>4</v>
      </c>
      <c r="D6" s="8" t="n">
        <v>4</v>
      </c>
      <c r="E6" s="8">
        <f>SUM(B6:D6)</f>
        <v/>
      </c>
      <c r="F6" s="9">
        <f>E6/E$16</f>
        <v/>
      </c>
    </row>
    <row r="7">
      <c r="A7" s="8" t="inlineStr">
        <is>
          <t>Capacidad</t>
        </is>
      </c>
      <c r="B7" s="8" t="n">
        <v>11</v>
      </c>
      <c r="C7" s="8" t="n">
        <v>3</v>
      </c>
      <c r="D7" s="8" t="n">
        <v>5</v>
      </c>
      <c r="E7" s="8">
        <f>SUM(B7:D7)</f>
        <v/>
      </c>
      <c r="F7" s="9">
        <f>E7/E$16</f>
        <v/>
      </c>
    </row>
    <row r="8">
      <c r="A8" s="3" t="inlineStr">
        <is>
          <t>Capacidad para ser Administrado</t>
        </is>
      </c>
      <c r="B8" s="3" t="n">
        <v>13</v>
      </c>
      <c r="C8" s="3" t="n">
        <v>7</v>
      </c>
      <c r="D8" s="3" t="n">
        <v>3</v>
      </c>
      <c r="E8" s="5">
        <f>SUM(B8:D8)</f>
        <v/>
      </c>
      <c r="F8" s="6">
        <f>E8/E$16</f>
        <v/>
      </c>
    </row>
    <row r="9">
      <c r="A9" s="3" t="inlineStr">
        <is>
          <t>Experiencia de Usuario</t>
        </is>
      </c>
      <c r="B9" s="5" t="n">
        <v>6</v>
      </c>
      <c r="C9" s="5" t="n">
        <v>6</v>
      </c>
      <c r="D9" s="5" t="n">
        <v>12</v>
      </c>
      <c r="E9" s="5">
        <f>SUM(B9:D9)</f>
        <v/>
      </c>
      <c r="F9" s="6">
        <f>E9/E$16</f>
        <v/>
      </c>
    </row>
    <row r="10">
      <c r="A10" s="3" t="inlineStr">
        <is>
          <t>Seguridad</t>
        </is>
      </c>
      <c r="B10" s="5" t="n">
        <v>10</v>
      </c>
      <c r="C10" s="5" t="n">
        <v>8</v>
      </c>
      <c r="D10" s="5" t="n">
        <v>6</v>
      </c>
      <c r="E10" s="5">
        <f>SUM(B10:D10)</f>
        <v/>
      </c>
      <c r="F10" s="6">
        <f>E10/E$16</f>
        <v/>
      </c>
    </row>
    <row r="11">
      <c r="A11" s="3" t="inlineStr">
        <is>
          <t>Interoperatividad</t>
        </is>
      </c>
      <c r="B11" s="3" t="n">
        <v>5</v>
      </c>
      <c r="C11" s="3" t="n">
        <v>10</v>
      </c>
      <c r="D11" s="3" t="n">
        <v>10</v>
      </c>
      <c r="E11" s="5">
        <f>SUM(B11:D11)</f>
        <v/>
      </c>
      <c r="F11" s="6">
        <f>E11/E$16</f>
        <v/>
      </c>
    </row>
    <row r="12">
      <c r="A12" s="3" t="inlineStr">
        <is>
          <t>Escalabilidad</t>
        </is>
      </c>
      <c r="B12" s="3" t="n">
        <v>8</v>
      </c>
      <c r="C12" s="3" t="n">
        <v>9</v>
      </c>
      <c r="D12" s="3" t="n">
        <v>8</v>
      </c>
      <c r="E12" s="5">
        <f>SUM(B12:D12)</f>
        <v/>
      </c>
      <c r="F12" s="6">
        <f>E12/E$16</f>
        <v/>
      </c>
    </row>
    <row r="13">
      <c r="A13" s="3" t="inlineStr">
        <is>
          <t>Capacidad para ser Soportado</t>
        </is>
      </c>
      <c r="B13" s="3" t="n">
        <v>12</v>
      </c>
      <c r="C13" s="3" t="n">
        <v>13</v>
      </c>
      <c r="D13" s="3" t="n">
        <v>2</v>
      </c>
      <c r="E13" s="5">
        <f>SUM(B13:D13)</f>
        <v/>
      </c>
      <c r="F13" s="6">
        <f>E13/E$16</f>
        <v/>
      </c>
    </row>
    <row r="14">
      <c r="A14" s="3" t="inlineStr">
        <is>
          <t>Portabilidad</t>
        </is>
      </c>
      <c r="B14" s="3" t="n">
        <v>4</v>
      </c>
      <c r="C14" s="3" t="n">
        <v>11</v>
      </c>
      <c r="D14" s="3" t="n">
        <v>13</v>
      </c>
      <c r="E14" s="5">
        <f>SUM(B14:D14)</f>
        <v/>
      </c>
      <c r="F14" s="6">
        <f>E14/E$16</f>
        <v/>
      </c>
    </row>
    <row r="15">
      <c r="A15" s="3" t="inlineStr">
        <is>
          <t>Accesibilidad</t>
        </is>
      </c>
      <c r="B15" s="5" t="n">
        <v>7</v>
      </c>
      <c r="C15" s="5" t="n">
        <v>12</v>
      </c>
      <c r="D15" s="5" t="n">
        <v>11</v>
      </c>
      <c r="E15" s="5">
        <f>SUM(B15:D15)</f>
        <v/>
      </c>
      <c r="F15" s="6">
        <f>E15/E$16</f>
        <v/>
      </c>
    </row>
    <row r="16">
      <c r="A16" s="3" t="n"/>
      <c r="B16" s="3">
        <f>SUM(B3:B15)</f>
        <v/>
      </c>
      <c r="C16" s="3">
        <f>SUM(C3:C15)</f>
        <v/>
      </c>
      <c r="D16" s="3">
        <f>SUM(D3:D15)</f>
        <v/>
      </c>
      <c r="E16" s="3">
        <f>SUM(E3:E15)</f>
        <v/>
      </c>
      <c r="F16" s="6">
        <f>SUM(F3:F15)</f>
        <v/>
      </c>
    </row>
    <row r="18">
      <c r="E18" t="inlineStr">
        <is>
          <t>|</t>
        </is>
      </c>
    </row>
  </sheetData>
  <mergeCells count="2">
    <mergeCell ref="B1:D1"/>
    <mergeCell ref="A1:A2"/>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63"/>
  <sheetViews>
    <sheetView tabSelected="1" topLeftCell="B3" zoomScaleNormal="100" workbookViewId="0">
      <selection activeCell="J5" sqref="J5"/>
    </sheetView>
  </sheetViews>
  <sheetFormatPr baseColWidth="10" defaultRowHeight="14.25"/>
  <cols>
    <col width="36.19921875" customWidth="1" style="33" min="1" max="1"/>
    <col width="60.53125" customWidth="1" style="33" min="2" max="2"/>
    <col width="15.6640625" customWidth="1" style="33" min="3" max="3"/>
    <col width="19.33203125" customWidth="1" style="33" min="4" max="4"/>
    <col width="17.6640625" customWidth="1" style="33" min="5" max="5"/>
    <col width="16.46484375" customWidth="1" style="33" min="7" max="7"/>
    <col width="12" customWidth="1" style="33" min="8" max="8"/>
    <col width="13.46484375" customWidth="1" style="33" min="9" max="9"/>
    <col width="14" customWidth="1" style="33" min="10" max="10"/>
    <col width="20" customWidth="1" style="33" min="11" max="11"/>
  </cols>
  <sheetData>
    <row r="1">
      <c r="A1" s="15" t="inlineStr">
        <is>
          <t>Atributo de calidad</t>
        </is>
      </c>
      <c r="B1" s="10" t="inlineStr">
        <is>
          <t>Pregunta</t>
        </is>
      </c>
      <c r="C1" s="17" t="inlineStr">
        <is>
          <t>Respuesta Juan</t>
        </is>
      </c>
      <c r="D1" s="17" t="inlineStr">
        <is>
          <t>Respuesta Jeronimo</t>
        </is>
      </c>
      <c r="E1" s="17" t="inlineStr">
        <is>
          <t>Respuesta Cliente</t>
        </is>
      </c>
      <c r="F1" s="17" t="inlineStr">
        <is>
          <t>Nota</t>
        </is>
      </c>
      <c r="G1" s="22" t="inlineStr">
        <is>
          <t>Tomador de datos</t>
        </is>
      </c>
      <c r="H1" s="22" t="inlineStr">
        <is>
          <t>Produccion</t>
        </is>
      </c>
      <c r="I1" s="22" t="inlineStr">
        <is>
          <t>Administrador</t>
        </is>
      </c>
      <c r="J1" s="22" t="inlineStr">
        <is>
          <t>Puntaje Total</t>
        </is>
      </c>
      <c r="K1" s="22" t="inlineStr">
        <is>
          <t>Seleccionada (Top 65)</t>
        </is>
      </c>
    </row>
    <row r="2" ht="25.5" customHeight="1" s="33">
      <c r="A2" s="15" t="inlineStr">
        <is>
          <t>Confiabilidad</t>
        </is>
      </c>
      <c r="B2" s="16" t="inlineStr">
        <is>
          <t>¿Se necesita verificar que la información sea correcta de manera individual con cada dato tomado?</t>
        </is>
      </c>
      <c r="C2" s="17" t="inlineStr">
        <is>
          <t>NO</t>
        </is>
      </c>
      <c r="D2" s="18" t="inlineStr">
        <is>
          <t>NO</t>
        </is>
      </c>
      <c r="E2" s="18" t="inlineStr">
        <is>
          <t>SI</t>
        </is>
      </c>
      <c r="F2" s="19" t="n"/>
      <c r="J2">
        <f>SUM(G2:I2)</f>
        <v/>
      </c>
    </row>
    <row r="3" ht="25.5" customHeight="1" s="33">
      <c r="A3" s="15" t="inlineStr">
        <is>
          <t>Confiabilidad</t>
        </is>
      </c>
      <c r="B3" s="16" t="inlineStr">
        <is>
          <t>¿Se necesita verificar que la información sea correcta de manera que se agrupe la información por variedad?</t>
        </is>
      </c>
      <c r="C3" s="17" t="inlineStr">
        <is>
          <t>SI</t>
        </is>
      </c>
      <c r="D3" s="18" t="inlineStr">
        <is>
          <t>SI</t>
        </is>
      </c>
      <c r="E3" s="18" t="inlineStr">
        <is>
          <t>SI</t>
        </is>
      </c>
      <c r="F3" s="19" t="n"/>
      <c r="J3">
        <f>SUM(G3:I3)</f>
        <v/>
      </c>
    </row>
    <row r="4" ht="25.5" customHeight="1" s="33">
      <c r="A4" s="15" t="inlineStr">
        <is>
          <t>Confiabilidad</t>
        </is>
      </c>
      <c r="B4" s="16" t="inlineStr">
        <is>
          <t>¿Se necesita verificar que la información sea correcta de manera que se agrupe la información por sección de la cama?</t>
        </is>
      </c>
      <c r="C4" s="17" t="inlineStr">
        <is>
          <t>SI</t>
        </is>
      </c>
      <c r="D4" s="18" t="inlineStr">
        <is>
          <t>SI</t>
        </is>
      </c>
      <c r="E4" s="18" t="inlineStr">
        <is>
          <t>NO</t>
        </is>
      </c>
      <c r="F4" s="19" t="n"/>
      <c r="J4">
        <f>SUM(G4:I4)</f>
        <v/>
      </c>
    </row>
    <row r="5" ht="25.5" customHeight="1" s="33">
      <c r="A5" s="15" t="inlineStr">
        <is>
          <t>Confiabilidad</t>
        </is>
      </c>
      <c r="B5" s="16" t="inlineStr">
        <is>
          <t>¿Se necesita verificar que la información sea correcta de manera que se agrupe la información por cama?</t>
        </is>
      </c>
      <c r="C5" s="17" t="inlineStr">
        <is>
          <t>SI</t>
        </is>
      </c>
      <c r="D5" s="20" t="inlineStr">
        <is>
          <t>SI</t>
        </is>
      </c>
      <c r="E5" s="20" t="inlineStr">
        <is>
          <t>SI</t>
        </is>
      </c>
      <c r="F5" s="21" t="n"/>
      <c r="J5">
        <f>SUM(G5:I5)</f>
        <v/>
      </c>
    </row>
    <row r="6" ht="42.75" customHeight="1" s="33">
      <c r="A6" s="15" t="inlineStr">
        <is>
          <t>Confiabilidad</t>
        </is>
      </c>
      <c r="B6" s="16" t="inlineStr">
        <is>
          <t>¿Se necesita verificar que la información sea correcta de manera que se agrupe la información por bloque?</t>
        </is>
      </c>
      <c r="C6" s="17" t="inlineStr">
        <is>
          <t>NO</t>
        </is>
      </c>
      <c r="D6" s="18" t="inlineStr">
        <is>
          <t>SI</t>
        </is>
      </c>
      <c r="E6" s="18" t="inlineStr">
        <is>
          <t>SI</t>
        </is>
      </c>
      <c r="F6" s="19" t="inlineStr">
        <is>
          <t>NO TAN IMPORTANTE</t>
        </is>
      </c>
      <c r="J6">
        <f>SUM(G6:I6)</f>
        <v/>
      </c>
    </row>
    <row r="7" ht="25.5" customHeight="1" s="33">
      <c r="A7" s="15" t="inlineStr">
        <is>
          <t>Confiabilidad</t>
        </is>
      </c>
      <c r="B7" s="16" t="inlineStr">
        <is>
          <t>¿Se necesita verificar que la información sea correcta de manera que se agrupe la información por finca y por jornada completa?</t>
        </is>
      </c>
      <c r="C7" s="17" t="inlineStr">
        <is>
          <t>SI</t>
        </is>
      </c>
      <c r="D7" s="18" t="inlineStr">
        <is>
          <t>SI</t>
        </is>
      </c>
      <c r="E7" s="18" t="inlineStr">
        <is>
          <t>SI</t>
        </is>
      </c>
      <c r="F7" s="19" t="n"/>
      <c r="H7" t="n">
        <v>2</v>
      </c>
      <c r="J7">
        <f>SUM(G7:I7)</f>
        <v/>
      </c>
      <c r="K7" t="inlineStr">
        <is>
          <t>SI</t>
        </is>
      </c>
    </row>
    <row r="8" ht="25.5" customHeight="1" s="33">
      <c r="A8" s="15" t="inlineStr">
        <is>
          <t>Confiabilidad</t>
        </is>
      </c>
      <c r="B8" s="16" t="inlineStr">
        <is>
          <t>¿Se necesita una confirmación final que muestre todo lo capturado antes de darlo por guardado?</t>
        </is>
      </c>
      <c r="C8" s="17" t="inlineStr">
        <is>
          <t>SI</t>
        </is>
      </c>
      <c r="D8" s="18" t="inlineStr">
        <is>
          <t>SI</t>
        </is>
      </c>
      <c r="E8" s="18" t="inlineStr">
        <is>
          <t>NO</t>
        </is>
      </c>
      <c r="F8" s="19" t="n"/>
      <c r="J8">
        <f>SUM(G8:I8)</f>
        <v/>
      </c>
    </row>
    <row r="9" ht="99.75" customHeight="1" s="33">
      <c r="A9" s="15" t="inlineStr">
        <is>
          <t>Confiabilidad</t>
        </is>
      </c>
      <c r="B9" s="16" t="inlineStr">
        <is>
          <t>¿Se necesita que el sistema impida cerrar la captura de una cama si quedaron campos sin diligenciar?</t>
        </is>
      </c>
      <c r="C9" s="17" t="inlineStr">
        <is>
          <t>SI</t>
        </is>
      </c>
      <c r="D9" s="18" t="inlineStr">
        <is>
          <t>SI</t>
        </is>
      </c>
      <c r="E9" s="18" t="inlineStr">
        <is>
          <t>NO</t>
        </is>
      </c>
      <c r="F9" s="19" t="inlineStr">
        <is>
          <t>HAY CAMPOS QUE NO SON CONCORDANTES CON OTROS</t>
        </is>
      </c>
      <c r="J9">
        <f>SUM(G9:I9)</f>
        <v/>
      </c>
    </row>
    <row r="10" ht="25.5" customHeight="1" s="33">
      <c r="A10" s="15" t="inlineStr">
        <is>
          <t>Confiabilidad</t>
        </is>
      </c>
      <c r="B10" s="16" t="inlineStr">
        <is>
          <t>¿Se necesita que el sistema permita guardar una captura incompleta y marcarla como pendiente?</t>
        </is>
      </c>
      <c r="C10" s="17" t="inlineStr">
        <is>
          <t>SI</t>
        </is>
      </c>
      <c r="D10" s="18" t="inlineStr">
        <is>
          <t>SI</t>
        </is>
      </c>
      <c r="E10" s="18" t="inlineStr">
        <is>
          <t>SI</t>
        </is>
      </c>
      <c r="F10" s="19" t="n"/>
      <c r="H10" t="n">
        <v>1</v>
      </c>
      <c r="J10">
        <f>SUM(G10:I10)</f>
        <v/>
      </c>
      <c r="K10" t="inlineStr">
        <is>
          <t>SI</t>
        </is>
      </c>
    </row>
    <row r="11" ht="25.5" customHeight="1" s="33">
      <c r="A11" s="15" t="inlineStr">
        <is>
          <t>Confiabilidad</t>
        </is>
      </c>
      <c r="B11" s="16" t="inlineStr">
        <is>
          <t>¿Se necesita que el sistema rechace un dato cuando está fuera del rango posible (por ejemplo, más tallos que plantas sembradas)?</t>
        </is>
      </c>
      <c r="C11" s="17" t="inlineStr">
        <is>
          <t>SI</t>
        </is>
      </c>
      <c r="D11" s="20" t="inlineStr">
        <is>
          <t>SI</t>
        </is>
      </c>
      <c r="E11" s="20" t="inlineStr">
        <is>
          <t>SI</t>
        </is>
      </c>
      <c r="F11" s="21" t="n"/>
      <c r="G11" t="n">
        <v>3</v>
      </c>
      <c r="H11" t="n">
        <v>3</v>
      </c>
      <c r="J11">
        <f>SUM(G11:I11)</f>
        <v/>
      </c>
      <c r="K11" t="inlineStr">
        <is>
          <t>SI</t>
        </is>
      </c>
    </row>
    <row r="12" ht="38.25" customHeight="1" s="33">
      <c r="A12" s="15" t="inlineStr">
        <is>
          <t>Confiabilidad</t>
        </is>
      </c>
      <c r="B12" s="16" t="inlineStr">
        <is>
          <t>¿Se necesita que el sistema advierta, sin bloquear, cuando un dato se aleja mucho de lo que se ha capturado históricamente en esa misma cama?</t>
        </is>
      </c>
      <c r="C12" s="17" t="inlineStr">
        <is>
          <t>NO</t>
        </is>
      </c>
      <c r="D12" s="18" t="inlineStr">
        <is>
          <t>NO</t>
        </is>
      </c>
      <c r="E12" s="18" t="inlineStr">
        <is>
          <t>SI</t>
        </is>
      </c>
      <c r="F12" s="19" t="n"/>
      <c r="J12">
        <f>SUM(G12:I12)</f>
        <v/>
      </c>
    </row>
    <row r="13" ht="25.5" customHeight="1" s="33">
      <c r="A13" s="15" t="inlineStr">
        <is>
          <t>Confiabilidad</t>
        </is>
      </c>
      <c r="B13" s="16" t="inlineStr">
        <is>
          <t>¿Se necesita que el sistema muestre siempre el motivo por el cual rechazó un dato?</t>
        </is>
      </c>
      <c r="C13" s="17" t="inlineStr">
        <is>
          <t>SI</t>
        </is>
      </c>
      <c r="D13" s="18" t="inlineStr">
        <is>
          <t>SI</t>
        </is>
      </c>
      <c r="E13" s="18" t="inlineStr">
        <is>
          <t>SI</t>
        </is>
      </c>
      <c r="F13" s="19" t="n"/>
      <c r="H13" t="n">
        <v>1</v>
      </c>
      <c r="J13">
        <f>SUM(G13:I13)</f>
        <v/>
      </c>
      <c r="K13" t="inlineStr">
        <is>
          <t>SI</t>
        </is>
      </c>
    </row>
    <row r="14" ht="25.5" customHeight="1" s="33">
      <c r="A14" s="15" t="inlineStr">
        <is>
          <t>Confiabilidad</t>
        </is>
      </c>
      <c r="B14" s="16" t="inlineStr">
        <is>
          <t>¿Se necesita que los rangos y las reglas de validación se puedan cambiar sin depender de una nueva versión de la aplicación?</t>
        </is>
      </c>
      <c r="C14" s="17" t="inlineStr">
        <is>
          <t>SI</t>
        </is>
      </c>
      <c r="D14" s="18" t="inlineStr">
        <is>
          <t>SI</t>
        </is>
      </c>
      <c r="E14" s="18" t="inlineStr">
        <is>
          <t>SI</t>
        </is>
      </c>
      <c r="F14" s="19" t="n"/>
      <c r="H14" t="n">
        <v>3</v>
      </c>
      <c r="I14" t="n">
        <v>1</v>
      </c>
      <c r="J14">
        <f>SUM(G14:I14)</f>
        <v/>
      </c>
      <c r="K14" t="inlineStr">
        <is>
          <t>SI</t>
        </is>
      </c>
    </row>
    <row r="15" ht="25.5" customHeight="1" s="33">
      <c r="A15" s="15" t="inlineStr">
        <is>
          <t>Confiabilidad</t>
        </is>
      </c>
      <c r="B15" s="16" t="inlineStr">
        <is>
          <t>¿Se necesita que las reglas de validación funcionen igual estando sin conexión que estando conectado?</t>
        </is>
      </c>
      <c r="C15" s="17" t="inlineStr">
        <is>
          <t>SI</t>
        </is>
      </c>
      <c r="D15" s="18" t="inlineStr">
        <is>
          <t>SI</t>
        </is>
      </c>
      <c r="E15" s="18" t="inlineStr">
        <is>
          <t>SI</t>
        </is>
      </c>
      <c r="F15" s="19" t="n"/>
      <c r="G15" t="n">
        <v>1</v>
      </c>
      <c r="J15">
        <f>SUM(G15:I15)</f>
        <v/>
      </c>
      <c r="K15" t="inlineStr">
        <is>
          <t>SI</t>
        </is>
      </c>
    </row>
    <row r="16" ht="25.5" customHeight="1" s="33">
      <c r="A16" s="15" t="inlineStr">
        <is>
          <t>Confiabilidad</t>
        </is>
      </c>
      <c r="B16" s="16" t="inlineStr">
        <is>
          <t>¿Se necesita que el sistema avise cuando se intenta capturar dos veces la misma cama el mismo día?</t>
        </is>
      </c>
      <c r="C16" s="17" t="inlineStr">
        <is>
          <t>SI</t>
        </is>
      </c>
      <c r="D16" s="20" t="inlineStr">
        <is>
          <t>SI</t>
        </is>
      </c>
      <c r="E16" s="20" t="inlineStr">
        <is>
          <t>SI</t>
        </is>
      </c>
      <c r="F16" s="21" t="n"/>
      <c r="G16" t="n">
        <v>2</v>
      </c>
      <c r="J16">
        <f>SUM(G16:I16)</f>
        <v/>
      </c>
      <c r="K16" t="inlineStr">
        <is>
          <t>SI</t>
        </is>
      </c>
    </row>
    <row r="17" ht="25.5" customHeight="1" s="33">
      <c r="A17" s="15" t="inlineStr">
        <is>
          <t>Confiabilidad</t>
        </is>
      </c>
      <c r="B17" s="16" t="inlineStr">
        <is>
          <t>¿Se necesita que el sistema avise cuando una cama lleva más días de lo normal sin ser capturada?</t>
        </is>
      </c>
      <c r="C17" s="17" t="inlineStr">
        <is>
          <t>SI</t>
        </is>
      </c>
      <c r="D17" s="18" t="inlineStr">
        <is>
          <t>SI</t>
        </is>
      </c>
      <c r="E17" s="18" t="inlineStr">
        <is>
          <t>SI</t>
        </is>
      </c>
      <c r="F17" s="19" t="n"/>
      <c r="J17">
        <f>SUM(G17:I17)</f>
        <v/>
      </c>
    </row>
    <row r="18" ht="57" customHeight="1" s="33">
      <c r="A18" s="15" t="inlineStr">
        <is>
          <t>Confiabilidad</t>
        </is>
      </c>
      <c r="B18" s="16" t="inlineStr">
        <is>
          <t>¿Se necesita que el sistema impida registrar una labor sobre una cama que ya fue erradicada?</t>
        </is>
      </c>
      <c r="C18" s="17" t="inlineStr">
        <is>
          <t>NO</t>
        </is>
      </c>
      <c r="D18" s="18" t="inlineStr">
        <is>
          <t>NO</t>
        </is>
      </c>
      <c r="E18" s="18" t="inlineStr">
        <is>
          <t>NO</t>
        </is>
      </c>
      <c r="F18" s="19" t="inlineStr">
        <is>
          <t>DEPENDE DEL TIPO DE INGRESO DE DATO</t>
        </is>
      </c>
      <c r="J18">
        <f>SUM(G18:I18)</f>
        <v/>
      </c>
    </row>
    <row r="19" ht="25.5" customHeight="1" s="33">
      <c r="A19" s="15" t="inlineStr">
        <is>
          <t>Confiabilidad</t>
        </is>
      </c>
      <c r="B19" s="16" t="inlineStr">
        <is>
          <t>¿Se necesita que el sistema bloquee la captura cuando detecta que la fecha y la hora del dispositivo fueron alteradas?</t>
        </is>
      </c>
      <c r="C19" s="17" t="inlineStr">
        <is>
          <t>SI</t>
        </is>
      </c>
      <c r="D19" s="20" t="inlineStr">
        <is>
          <t>SI</t>
        </is>
      </c>
      <c r="E19" s="20" t="inlineStr">
        <is>
          <t>SI</t>
        </is>
      </c>
      <c r="F19" s="21" t="n"/>
      <c r="G19" t="n">
        <v>1</v>
      </c>
      <c r="I19" t="n">
        <v>2</v>
      </c>
      <c r="J19">
        <f>SUM(G19:I19)</f>
        <v/>
      </c>
      <c r="K19" t="inlineStr">
        <is>
          <t>SI</t>
        </is>
      </c>
    </row>
    <row r="20" ht="38.25" customHeight="1" s="33">
      <c r="A20" s="15" t="inlineStr">
        <is>
          <t>Confiabilidad</t>
        </is>
      </c>
      <c r="B20" s="16" t="inlineStr">
        <is>
          <t>¿Se necesita realizar la captura de datos de manera progresiva y guiada pantalla por pantalla (primero se selecciona bloque, luego cama, luego se captura lote y fecha de siembra, después las variedades plantadas)?</t>
        </is>
      </c>
      <c r="C20" s="17" t="inlineStr">
        <is>
          <t>NO</t>
        </is>
      </c>
      <c r="D20" s="18" t="inlineStr">
        <is>
          <t>NO</t>
        </is>
      </c>
      <c r="E20" s="18" t="inlineStr">
        <is>
          <t>NO</t>
        </is>
      </c>
      <c r="F20" s="19" t="n"/>
      <c r="J20">
        <f>SUM(G20:I20)</f>
        <v/>
      </c>
    </row>
    <row r="21" ht="38.25" customHeight="1" s="33">
      <c r="A21" s="15" t="inlineStr">
        <is>
          <t>Confiabilidad</t>
        </is>
      </c>
      <c r="B21" s="16" t="inlineStr">
        <is>
          <t>¿Se necesita realizar la captura de datos con una plantilla predefinida que use una estructura similar a las plantillas de papel utilizadas previamente?</t>
        </is>
      </c>
      <c r="C21" s="17" t="inlineStr">
        <is>
          <t>SI</t>
        </is>
      </c>
      <c r="D21" s="20" t="inlineStr">
        <is>
          <t>SI</t>
        </is>
      </c>
      <c r="E21" s="20" t="inlineStr">
        <is>
          <t>SI</t>
        </is>
      </c>
      <c r="F21" s="21" t="n"/>
      <c r="G21" t="n">
        <v>1</v>
      </c>
      <c r="J21">
        <f>SUM(G21:I21)</f>
        <v/>
      </c>
      <c r="K21" t="inlineStr">
        <is>
          <t>NO</t>
        </is>
      </c>
    </row>
    <row r="22" ht="25.5" customHeight="1" s="33">
      <c r="A22" s="15" t="inlineStr">
        <is>
          <t>Confiabilidad</t>
        </is>
      </c>
      <c r="B22" s="16" t="inlineStr">
        <is>
          <t>¿Se necesita que la estructura de captura sea siempre la misma para todos los bloques de la finca?</t>
        </is>
      </c>
      <c r="C22" s="17" t="inlineStr">
        <is>
          <t>NO</t>
        </is>
      </c>
      <c r="D22" s="18" t="inlineStr">
        <is>
          <t>NO</t>
        </is>
      </c>
      <c r="E22" s="18" t="inlineStr">
        <is>
          <t>SI</t>
        </is>
      </c>
      <c r="F22" s="19" t="n"/>
      <c r="J22">
        <f>SUM(G22:I22)</f>
        <v/>
      </c>
    </row>
    <row r="23" ht="57" customHeight="1" s="33">
      <c r="A23" s="15" t="inlineStr">
        <is>
          <t>Confiabilidad</t>
        </is>
      </c>
      <c r="B23" s="16" t="inlineStr">
        <is>
          <t>¿Se necesita que la estructura de captura pueda cambiar según la variedad que se esté trabajando?</t>
        </is>
      </c>
      <c r="C23" s="17" t="inlineStr">
        <is>
          <t>SI</t>
        </is>
      </c>
      <c r="D23" s="18" t="inlineStr">
        <is>
          <t>SI</t>
        </is>
      </c>
      <c r="E23" s="18" t="inlineStr">
        <is>
          <t>NO</t>
        </is>
      </c>
      <c r="F23" s="19" t="inlineStr">
        <is>
          <t>PUEDEN HABER DATOS EN BLANCO</t>
        </is>
      </c>
      <c r="J23">
        <f>SUM(G23:I23)</f>
        <v/>
      </c>
    </row>
    <row r="24" ht="25.5" customHeight="1" s="33">
      <c r="A24" s="15" t="inlineStr">
        <is>
          <t>Confiabilidad</t>
        </is>
      </c>
      <c r="B24" s="16" t="inlineStr">
        <is>
          <t>¿Se necesita que el sistema proponga automáticamente el valor capturado la última vez para esa misma cama?</t>
        </is>
      </c>
      <c r="C24" s="17" t="inlineStr">
        <is>
          <t>NO</t>
        </is>
      </c>
      <c r="D24" s="18" t="inlineStr">
        <is>
          <t>NO</t>
        </is>
      </c>
      <c r="E24" s="18" t="inlineStr">
        <is>
          <t>NO</t>
        </is>
      </c>
      <c r="F24" s="19" t="n"/>
      <c r="J24">
        <f>SUM(G24:I24)</f>
        <v/>
      </c>
    </row>
    <row r="25" ht="25.5" customHeight="1" s="33">
      <c r="A25" s="15" t="inlineStr">
        <is>
          <t>Confiabilidad</t>
        </is>
      </c>
      <c r="B25" s="16" t="inlineStr">
        <is>
          <t>¿Se necesita que el orden de captura siga el recorrido físico que se hace dentro del bloque?</t>
        </is>
      </c>
      <c r="C25" s="17" t="inlineStr">
        <is>
          <t>NO</t>
        </is>
      </c>
      <c r="D25" s="18" t="inlineStr">
        <is>
          <t>NO</t>
        </is>
      </c>
      <c r="E25" s="18" t="inlineStr">
        <is>
          <t>NO</t>
        </is>
      </c>
      <c r="F25" s="19" t="n"/>
      <c r="J25">
        <f>SUM(G25:I25)</f>
        <v/>
      </c>
    </row>
    <row r="26" ht="25.5" customHeight="1" s="33">
      <c r="A26" s="15" t="inlineStr">
        <is>
          <t>Confiabilidad</t>
        </is>
      </c>
      <c r="B26" s="16" t="inlineStr">
        <is>
          <t>¿Se necesita que el sistema indique en todo momento cuántas camas faltan por capturar en la jornada?</t>
        </is>
      </c>
      <c r="C26" s="17" t="inlineStr">
        <is>
          <t>NO</t>
        </is>
      </c>
      <c r="D26" s="18" t="inlineStr">
        <is>
          <t>NO</t>
        </is>
      </c>
      <c r="E26" s="18" t="inlineStr">
        <is>
          <t>NO</t>
        </is>
      </c>
      <c r="F26" s="19" t="n"/>
      <c r="J26">
        <f>SUM(G26:I26)</f>
        <v/>
      </c>
    </row>
    <row r="27" ht="25.5" customHeight="1" s="33">
      <c r="A27" s="15" t="inlineStr">
        <is>
          <t>Confiabilidad</t>
        </is>
      </c>
      <c r="B27" s="16" t="inlineStr">
        <is>
          <t>¿Se necesita poder corregir un dato ya capturado antes de que se sincronice?</t>
        </is>
      </c>
      <c r="C27" s="17" t="inlineStr">
        <is>
          <t>SI</t>
        </is>
      </c>
      <c r="D27" s="20" t="inlineStr">
        <is>
          <t>SI</t>
        </is>
      </c>
      <c r="E27" s="20" t="inlineStr">
        <is>
          <t>SI</t>
        </is>
      </c>
      <c r="F27" s="21" t="n"/>
      <c r="G27" t="n">
        <v>4</v>
      </c>
      <c r="J27">
        <f>SUM(G27:I27)</f>
        <v/>
      </c>
      <c r="K27" t="inlineStr">
        <is>
          <t>SI</t>
        </is>
      </c>
    </row>
    <row r="28">
      <c r="A28" s="15" t="inlineStr">
        <is>
          <t>Confiabilidad</t>
        </is>
      </c>
      <c r="B28" s="16" t="inlineStr">
        <is>
          <t>¿Se necesita poder corregir un dato después de que se sincronizó?</t>
        </is>
      </c>
      <c r="C28" s="17" t="inlineStr">
        <is>
          <t>SI</t>
        </is>
      </c>
      <c r="D28" s="18" t="inlineStr">
        <is>
          <t>SI</t>
        </is>
      </c>
      <c r="E28" s="18" t="inlineStr">
        <is>
          <t>SI</t>
        </is>
      </c>
      <c r="F28" s="19" t="n"/>
      <c r="I28" t="n">
        <v>1</v>
      </c>
      <c r="J28">
        <f>SUM(G28:I28)</f>
        <v/>
      </c>
      <c r="K28" t="inlineStr">
        <is>
          <t>SI</t>
        </is>
      </c>
    </row>
    <row r="29" ht="25.5" customHeight="1" s="33">
      <c r="A29" s="15" t="inlineStr">
        <is>
          <t>Confiabilidad</t>
        </is>
      </c>
      <c r="B29" s="16" t="inlineStr">
        <is>
          <t>¿Se necesita que al corregir un dato se conserve visible el valor original?</t>
        </is>
      </c>
      <c r="C29" s="17" t="inlineStr">
        <is>
          <t>NO</t>
        </is>
      </c>
      <c r="D29" s="18" t="inlineStr">
        <is>
          <t>NO</t>
        </is>
      </c>
      <c r="E29" s="18" t="inlineStr">
        <is>
          <t>NO</t>
        </is>
      </c>
      <c r="F29" s="19" t="n"/>
      <c r="J29">
        <f>SUM(G29:I29)</f>
        <v/>
      </c>
    </row>
    <row r="30">
      <c r="A30" s="15" t="inlineStr">
        <is>
          <t>Confiabilidad</t>
        </is>
      </c>
      <c r="B30" s="16" t="inlineStr">
        <is>
          <t>¿Se necesita que toda corrección exija escribir un motivo?</t>
        </is>
      </c>
      <c r="C30" s="17" t="inlineStr">
        <is>
          <t>NO</t>
        </is>
      </c>
      <c r="D30" s="18" t="inlineStr">
        <is>
          <t>NO</t>
        </is>
      </c>
      <c r="E30" s="18" t="inlineStr">
        <is>
          <t>NO</t>
        </is>
      </c>
      <c r="F30" s="19" t="n"/>
      <c r="J30">
        <f>SUM(G30:I30)</f>
        <v/>
      </c>
    </row>
    <row r="31" ht="25.5" customHeight="1" s="33">
      <c r="A31" s="15" t="inlineStr">
        <is>
          <t>Confiabilidad</t>
        </is>
      </c>
      <c r="B31" s="16" t="inlineStr">
        <is>
          <t>¿Se necesita que exista una fecha a partir de la cual la información ya no se pueda corregir?</t>
        </is>
      </c>
      <c r="C31" s="17" t="inlineStr">
        <is>
          <t>NO</t>
        </is>
      </c>
      <c r="D31" s="18" t="inlineStr">
        <is>
          <t>NO</t>
        </is>
      </c>
      <c r="E31" s="18" t="inlineStr">
        <is>
          <t>NO</t>
        </is>
      </c>
      <c r="F31" s="19" t="n"/>
      <c r="J31">
        <f>SUM(G31:I31)</f>
        <v/>
      </c>
    </row>
    <row r="32" ht="25.5" customHeight="1" s="33">
      <c r="A32" s="15" t="inlineStr">
        <is>
          <t>Confiabilidad</t>
        </is>
      </c>
      <c r="B32" s="16" t="inlineStr">
        <is>
          <t>¿Se necesita que, cuando dos capturas de la misma cama entran en conflicto, el sistema resuelva solo tomando la más reciente?</t>
        </is>
      </c>
      <c r="C32" s="17" t="inlineStr">
        <is>
          <t>NO</t>
        </is>
      </c>
      <c r="D32" s="18" t="inlineStr">
        <is>
          <t>NO</t>
        </is>
      </c>
      <c r="E32" s="18" t="inlineStr">
        <is>
          <t>NO</t>
        </is>
      </c>
      <c r="F32" s="19" t="n"/>
      <c r="J32">
        <f>SUM(G32:I32)</f>
        <v/>
      </c>
    </row>
    <row r="33" ht="57" customHeight="1" s="33">
      <c r="A33" s="15" t="inlineStr">
        <is>
          <t>Confiabilidad</t>
        </is>
      </c>
      <c r="B33" s="16" t="inlineStr">
        <is>
          <t>¿Se necesita que, cuando dos capturas de la misma cama entran en conflicto, el sistema deje ambas y pida que una persona decida?</t>
        </is>
      </c>
      <c r="C33" s="17" t="inlineStr">
        <is>
          <t>SI</t>
        </is>
      </c>
      <c r="D33" s="18" t="inlineStr">
        <is>
          <t>SI</t>
        </is>
      </c>
      <c r="E33" s="18" t="inlineStr">
        <is>
          <t>NO</t>
        </is>
      </c>
      <c r="F33" s="19" t="inlineStr">
        <is>
          <t>NO DEJA INGRESAR EL ULTIMO REGISTRO</t>
        </is>
      </c>
      <c r="J33">
        <f>SUM(G33:I33)</f>
        <v/>
      </c>
    </row>
    <row r="34" ht="25.5" customHeight="1" s="33">
      <c r="A34" s="15" t="inlineStr">
        <is>
          <t>Confiabilidad</t>
        </is>
      </c>
      <c r="B34" s="16" t="inlineStr">
        <is>
          <t>¿Se necesita que quien capturó el dato se entere cuando su captura fue descartada o modificada por un conflicto?</t>
        </is>
      </c>
      <c r="C34" s="17" t="inlineStr">
        <is>
          <t>NO</t>
        </is>
      </c>
      <c r="D34" s="18" t="inlineStr">
        <is>
          <t>NO</t>
        </is>
      </c>
      <c r="E34" s="18" t="inlineStr">
        <is>
          <t>SI</t>
        </is>
      </c>
      <c r="F34" s="19" t="n"/>
      <c r="J34">
        <f>SUM(G34:I34)</f>
        <v/>
      </c>
    </row>
    <row r="35" ht="25.5" customHeight="1" s="33">
      <c r="A35" s="15" t="inlineStr">
        <is>
          <t>Confiabilidad</t>
        </is>
      </c>
      <c r="B35" s="16" t="inlineStr">
        <is>
          <t>¿Se necesita saber, sobre cada proyección, con qué datos y con qué parámetros fue calculada?</t>
        </is>
      </c>
      <c r="C35" s="17" t="inlineStr">
        <is>
          <t>SI</t>
        </is>
      </c>
      <c r="D35" s="20" t="inlineStr">
        <is>
          <t>SI</t>
        </is>
      </c>
      <c r="E35" s="20" t="inlineStr">
        <is>
          <t>SI</t>
        </is>
      </c>
      <c r="F35" s="21" t="n"/>
      <c r="H35" t="n">
        <v>4</v>
      </c>
      <c r="J35">
        <f>SUM(G35:I35)</f>
        <v/>
      </c>
      <c r="K35" t="inlineStr">
        <is>
          <t>SI</t>
        </is>
      </c>
    </row>
    <row r="36" ht="28.5" customHeight="1" s="33">
      <c r="A36" s="15" t="inlineStr">
        <is>
          <t>Confiabilidad</t>
        </is>
      </c>
      <c r="B36" s="16" t="inlineStr">
        <is>
          <t>¿Se necesita que una misma proyección, recalculada meses después, dé exactamente el mismo resultado?</t>
        </is>
      </c>
      <c r="C36" s="17" t="inlineStr">
        <is>
          <t>NO</t>
        </is>
      </c>
      <c r="D36" s="18" t="inlineStr">
        <is>
          <t>NO</t>
        </is>
      </c>
      <c r="E36" s="18" t="inlineStr">
        <is>
          <t>SI</t>
        </is>
      </c>
      <c r="F36" s="19" t="inlineStr">
        <is>
          <t>SI NO SE MODIFICA SI</t>
        </is>
      </c>
      <c r="J36">
        <f>SUM(G36:I36)</f>
        <v/>
      </c>
    </row>
    <row r="37" ht="57" customHeight="1" s="33">
      <c r="A37" s="15" t="inlineStr">
        <is>
          <t>Confiabilidad</t>
        </is>
      </c>
      <c r="B37" s="16" t="inlineStr">
        <is>
          <t>¿Se necesita que el sistema muestre cuánto se desvió la proyección anterior frente a lo que realmente se cortó?</t>
        </is>
      </c>
      <c r="C37" s="17" t="inlineStr">
        <is>
          <t>SI</t>
        </is>
      </c>
      <c r="D37" s="20" t="inlineStr">
        <is>
          <t>SI</t>
        </is>
      </c>
      <c r="E37" s="20" t="inlineStr">
        <is>
          <t>SI</t>
        </is>
      </c>
      <c r="F37" s="21" t="inlineStr">
        <is>
          <t>SOBRE LA MISMA PROYECCION</t>
        </is>
      </c>
      <c r="H37" t="n">
        <v>4</v>
      </c>
      <c r="J37">
        <f>SUM(G37:I37)</f>
        <v/>
      </c>
      <c r="K37" t="inlineStr">
        <is>
          <t>SI</t>
        </is>
      </c>
    </row>
    <row r="38" ht="25.5" customHeight="1" s="33">
      <c r="A38" s="15" t="inlineStr">
        <is>
          <t>Confiabilidad</t>
        </is>
      </c>
      <c r="B38" s="16" t="inlineStr">
        <is>
          <t>¿Se necesita que el sistema muestre un indicador del porcentaje de datos con error o pendientes de verificación?</t>
        </is>
      </c>
      <c r="C38" s="17" t="inlineStr">
        <is>
          <t>NO</t>
        </is>
      </c>
      <c r="D38" s="18" t="inlineStr">
        <is>
          <t>NO</t>
        </is>
      </c>
      <c r="E38" s="18" t="inlineStr">
        <is>
          <t>NO</t>
        </is>
      </c>
      <c r="F38" s="19" t="n"/>
      <c r="J38">
        <f>SUM(G38:I38)</f>
        <v/>
      </c>
    </row>
    <row r="39" ht="42.75" customHeight="1" s="33">
      <c r="A39" s="15" t="inlineStr">
        <is>
          <t>Confiabilidad</t>
        </is>
      </c>
      <c r="B39" s="16" t="inlineStr">
        <is>
          <t>¿Se necesita fijar una meta explícita de porcentaje máximo de error aceptable en la información capturada?</t>
        </is>
      </c>
      <c r="C39" s="17" t="inlineStr">
        <is>
          <t>SI</t>
        </is>
      </c>
      <c r="D39" s="18" t="inlineStr">
        <is>
          <t>NO</t>
        </is>
      </c>
      <c r="E39" s="18" t="inlineStr">
        <is>
          <t>NO</t>
        </is>
      </c>
      <c r="F39" s="19" t="inlineStr">
        <is>
          <t>NO PUEDE HABER ERRORES</t>
        </is>
      </c>
      <c r="J39">
        <f>SUM(G39:I39)</f>
        <v/>
      </c>
    </row>
    <row r="40" ht="25.5" customHeight="1" s="33">
      <c r="A40" s="15" t="inlineStr">
        <is>
          <t>Confiabilidad</t>
        </is>
      </c>
      <c r="B40" s="16" t="inlineStr">
        <is>
          <t>¿Se necesita que el sistema distinga la información verificada de la que todavía no lo ha sido?</t>
        </is>
      </c>
      <c r="C40" s="17" t="inlineStr">
        <is>
          <t>NO</t>
        </is>
      </c>
      <c r="D40" s="18" t="inlineStr">
        <is>
          <t>NO</t>
        </is>
      </c>
      <c r="E40" s="18" t="inlineStr">
        <is>
          <t>NO</t>
        </is>
      </c>
      <c r="F40" s="19" t="n"/>
      <c r="J40">
        <f>SUM(G40:I40)</f>
        <v/>
      </c>
    </row>
    <row r="41" ht="25.5" customHeight="1" s="33">
      <c r="A41" s="15" t="inlineStr">
        <is>
          <t>Confiabilidad</t>
        </is>
      </c>
      <c r="B41" s="16" t="inlineStr">
        <is>
          <t>¿Se necesita que la información no verificada quede excluida de las proyecciones hasta que se verifique?</t>
        </is>
      </c>
      <c r="C41" s="17" t="inlineStr">
        <is>
          <t>SI</t>
        </is>
      </c>
      <c r="D41" s="18" t="inlineStr">
        <is>
          <t>SI</t>
        </is>
      </c>
      <c r="E41" s="18" t="inlineStr">
        <is>
          <t>NO</t>
        </is>
      </c>
      <c r="F41" s="19" t="n"/>
      <c r="J41">
        <f>SUM(G41:I41)</f>
        <v/>
      </c>
    </row>
    <row r="42" ht="25.5" customHeight="1" s="33">
      <c r="A42" s="15" t="inlineStr">
        <is>
          <t>Confiabilidad</t>
        </is>
      </c>
      <c r="B42" s="16" t="inlineStr">
        <is>
          <t>¿Se necesita seguir llenando el formato en papel en paralelo durante los primeros meses de uso?</t>
        </is>
      </c>
      <c r="C42" s="17" t="inlineStr">
        <is>
          <t>SI</t>
        </is>
      </c>
      <c r="D42" s="18" t="inlineStr">
        <is>
          <t>SI</t>
        </is>
      </c>
      <c r="E42" s="18" t="inlineStr">
        <is>
          <t>SI</t>
        </is>
      </c>
      <c r="F42" s="19" t="n"/>
      <c r="J42">
        <f>SUM(G42:I42)</f>
        <v/>
      </c>
    </row>
    <row r="43" ht="25.5" customHeight="1" s="33">
      <c r="A43" s="15" t="inlineStr">
        <is>
          <t>Confiabilidad</t>
        </is>
      </c>
      <c r="B43" s="16" t="inlineStr">
        <is>
          <t>¿Se necesita que el sistema permita comparar lo capturado en la aplicación contra el formato en papel del mismo día?</t>
        </is>
      </c>
      <c r="C43" s="17" t="inlineStr">
        <is>
          <t>SI</t>
        </is>
      </c>
      <c r="D43" s="20" t="inlineStr">
        <is>
          <t>SI</t>
        </is>
      </c>
      <c r="E43" s="20" t="inlineStr">
        <is>
          <t>SI</t>
        </is>
      </c>
      <c r="F43" s="21" t="n"/>
      <c r="G43" t="n">
        <v>1</v>
      </c>
      <c r="J43">
        <f>SUM(G43:I43)</f>
        <v/>
      </c>
      <c r="K43" t="inlineStr">
        <is>
          <t>NO</t>
        </is>
      </c>
    </row>
    <row r="44" ht="25.5" customHeight="1" s="33">
      <c r="A44" s="15" t="inlineStr">
        <is>
          <t>Confiabilidad</t>
        </is>
      </c>
      <c r="B44" s="16" t="inlineStr">
        <is>
          <t>¿Se necesita que no se pierda ningún dato capturado bajo ninguna circunstancia?</t>
        </is>
      </c>
      <c r="C44" s="17" t="inlineStr">
        <is>
          <t>SI</t>
        </is>
      </c>
      <c r="D44" s="20" t="inlineStr">
        <is>
          <t>SI</t>
        </is>
      </c>
      <c r="E44" s="20" t="inlineStr">
        <is>
          <t>SI</t>
        </is>
      </c>
      <c r="F44" s="21" t="n"/>
      <c r="G44" t="n">
        <v>5</v>
      </c>
      <c r="H44" t="n">
        <v>5</v>
      </c>
      <c r="J44">
        <f>SUM(G44:I44)</f>
        <v/>
      </c>
      <c r="K44" t="inlineStr">
        <is>
          <t>SI</t>
        </is>
      </c>
    </row>
    <row r="45" ht="25.5" customHeight="1" s="33">
      <c r="A45" s="15" t="inlineStr">
        <is>
          <t>Confiabilidad</t>
        </is>
      </c>
      <c r="B45" s="16" t="inlineStr">
        <is>
          <t>¿Se necesita que la información se conserve cuando el dispositivo se apaga por batería agotada a mitad de una captura?</t>
        </is>
      </c>
      <c r="C45" s="17" t="inlineStr">
        <is>
          <t>SI</t>
        </is>
      </c>
      <c r="D45" s="18" t="inlineStr">
        <is>
          <t>SI</t>
        </is>
      </c>
      <c r="E45" s="18" t="inlineStr">
        <is>
          <t>SI</t>
        </is>
      </c>
      <c r="F45" s="19" t="n"/>
      <c r="G45" t="n">
        <v>4</v>
      </c>
      <c r="J45">
        <f>SUM(G45:I45)</f>
        <v/>
      </c>
      <c r="K45" t="inlineStr">
        <is>
          <t>SI</t>
        </is>
      </c>
    </row>
    <row r="46" ht="25.5" customHeight="1" s="33">
      <c r="A46" s="15" t="inlineStr">
        <is>
          <t>Confiabilidad</t>
        </is>
      </c>
      <c r="B46" s="16" t="inlineStr">
        <is>
          <t>¿Se necesita que la información se conserve cuando la aplicación se cierra de manera inesperada?</t>
        </is>
      </c>
      <c r="C46" s="17" t="inlineStr">
        <is>
          <t>SI</t>
        </is>
      </c>
      <c r="D46" s="20" t="inlineStr">
        <is>
          <t>SI</t>
        </is>
      </c>
      <c r="E46" s="20" t="inlineStr">
        <is>
          <t>SI</t>
        </is>
      </c>
      <c r="F46" s="21" t="n"/>
      <c r="G46" t="n">
        <v>3</v>
      </c>
      <c r="J46">
        <f>SUM(G46:I46)</f>
        <v/>
      </c>
      <c r="K46" t="inlineStr">
        <is>
          <t>SI</t>
        </is>
      </c>
    </row>
    <row r="47" ht="25.5" customHeight="1" s="33">
      <c r="A47" s="15" t="inlineStr">
        <is>
          <t>Confiabilidad</t>
        </is>
      </c>
      <c r="B47" s="16" t="inlineStr">
        <is>
          <t>¿Se necesita que la información se conserve cuando el dispositivo se moja o se dañe y hay que cambiarlo?</t>
        </is>
      </c>
      <c r="C47" s="17" t="inlineStr">
        <is>
          <t>SI</t>
        </is>
      </c>
      <c r="D47" s="20" t="inlineStr">
        <is>
          <t>SI</t>
        </is>
      </c>
      <c r="E47" s="20" t="inlineStr">
        <is>
          <t>SI</t>
        </is>
      </c>
      <c r="F47" s="21" t="n"/>
      <c r="J47">
        <f>SUM(G47:I47)</f>
        <v/>
      </c>
    </row>
    <row r="48" ht="25.5" customHeight="1" s="33">
      <c r="A48" s="15" t="inlineStr">
        <is>
          <t>Confiabilidad</t>
        </is>
      </c>
      <c r="B48" s="16" t="inlineStr">
        <is>
          <t>¿Se necesita que una sincronización interrumpida a la mitad pueda retomarse sin duplicar ni perder información?</t>
        </is>
      </c>
      <c r="C48" s="17" t="inlineStr">
        <is>
          <t>SI</t>
        </is>
      </c>
      <c r="D48" s="20" t="inlineStr">
        <is>
          <t>SI</t>
        </is>
      </c>
      <c r="E48" s="20" t="inlineStr">
        <is>
          <t>SI</t>
        </is>
      </c>
      <c r="F48" s="21" t="n"/>
      <c r="J48">
        <f>SUM(G48:I48)</f>
        <v/>
      </c>
    </row>
    <row r="49" ht="25.5" customHeight="1" s="33">
      <c r="A49" s="15" t="inlineStr">
        <is>
          <t>Confiabilidad</t>
        </is>
      </c>
      <c r="B49" s="16" t="inlineStr">
        <is>
          <t>¿Se necesita que el sistema haga copias de respaldo de manera automática, sin que nadie lo solicite?</t>
        </is>
      </c>
      <c r="C49" s="17" t="inlineStr">
        <is>
          <t>SI</t>
        </is>
      </c>
      <c r="D49" s="20" t="inlineStr">
        <is>
          <t>SI</t>
        </is>
      </c>
      <c r="E49" s="20" t="inlineStr">
        <is>
          <t>SI</t>
        </is>
      </c>
      <c r="F49" s="21" t="n"/>
      <c r="I49" t="n">
        <v>5</v>
      </c>
      <c r="J49">
        <f>SUM(G49:I49)</f>
        <v/>
      </c>
      <c r="K49" t="inlineStr">
        <is>
          <t>SI</t>
        </is>
      </c>
    </row>
    <row r="50" ht="25.5" customHeight="1" s="33">
      <c r="A50" s="15" t="inlineStr">
        <is>
          <t>Confiabilidad</t>
        </is>
      </c>
      <c r="B50" s="16" t="inlineStr">
        <is>
          <t>¿Se necesita que las copias de respaldo se hagan al menos una vez al día?</t>
        </is>
      </c>
      <c r="C50" s="17" t="inlineStr">
        <is>
          <t>SI</t>
        </is>
      </c>
      <c r="D50" s="18" t="inlineStr">
        <is>
          <t>NO</t>
        </is>
      </c>
      <c r="E50" s="18" t="inlineStr">
        <is>
          <t>SI</t>
        </is>
      </c>
      <c r="F50" s="19" t="n"/>
      <c r="J50">
        <f>SUM(G50:I50)</f>
        <v/>
      </c>
    </row>
    <row r="51" ht="25.5" customHeight="1" s="33">
      <c r="A51" s="15" t="inlineStr">
        <is>
          <t>Confiabilidad</t>
        </is>
      </c>
      <c r="B51" s="16" t="inlineStr">
        <is>
          <t>¿Se necesita poder devolver la información a como estaba en una fecha anterior?</t>
        </is>
      </c>
      <c r="C51" s="17" t="inlineStr">
        <is>
          <t>SI</t>
        </is>
      </c>
      <c r="D51" s="18" t="inlineStr">
        <is>
          <t>SI</t>
        </is>
      </c>
      <c r="E51" s="18" t="inlineStr">
        <is>
          <t>NO</t>
        </is>
      </c>
      <c r="F51" s="19" t="n"/>
      <c r="J51">
        <f>SUM(G51:I51)</f>
        <v/>
      </c>
    </row>
    <row r="52" ht="25.5" customHeight="1" s="33">
      <c r="A52" s="15" t="inlineStr">
        <is>
          <t>Confiabilidad</t>
        </is>
      </c>
      <c r="B52" s="16" t="inlineStr">
        <is>
          <t>¿Se necesita poder devolver la información de una sola finca sin tocar la de las demás?</t>
        </is>
      </c>
      <c r="C52" s="17" t="inlineStr">
        <is>
          <t>SI</t>
        </is>
      </c>
      <c r="D52" s="18" t="inlineStr">
        <is>
          <t>SI</t>
        </is>
      </c>
      <c r="E52" s="18" t="inlineStr">
        <is>
          <t>NO</t>
        </is>
      </c>
      <c r="F52" s="19" t="n"/>
      <c r="J52">
        <f>SUM(G52:I52)</f>
        <v/>
      </c>
    </row>
    <row r="53" ht="25.5" customHeight="1" s="33">
      <c r="A53" s="15" t="inlineStr">
        <is>
          <t>Confiabilidad</t>
        </is>
      </c>
      <c r="B53" s="16" t="inlineStr">
        <is>
          <t>¿Se necesita que la información nunca se elimine, ni siquiera cuando se erradica una cama?</t>
        </is>
      </c>
      <c r="C53" s="17" t="inlineStr">
        <is>
          <t>SI</t>
        </is>
      </c>
      <c r="D53" s="18" t="inlineStr">
        <is>
          <t>SI</t>
        </is>
      </c>
      <c r="E53" s="18" t="inlineStr">
        <is>
          <t>SI</t>
        </is>
      </c>
      <c r="F53" s="19" t="n"/>
      <c r="J53">
        <f>SUM(G53:I53)</f>
        <v/>
      </c>
    </row>
    <row r="54" ht="28.5" customHeight="1" s="33">
      <c r="A54" s="15" t="inlineStr">
        <is>
          <t>Confiabilidad</t>
        </is>
      </c>
      <c r="B54" s="16" t="inlineStr">
        <is>
          <t>¿Se necesita conservar tanto la información tal como se capturó como la información ya corregida?</t>
        </is>
      </c>
      <c r="C54" s="17" t="inlineStr">
        <is>
          <t>NO</t>
        </is>
      </c>
      <c r="D54" s="18" t="inlineStr">
        <is>
          <t>NO</t>
        </is>
      </c>
      <c r="E54" s="18" t="inlineStr">
        <is>
          <t>NO</t>
        </is>
      </c>
      <c r="F54" s="19" t="inlineStr">
        <is>
          <t>SOLO LA CORREGIDA</t>
        </is>
      </c>
      <c r="J54">
        <f>SUM(G54:I54)</f>
        <v/>
      </c>
    </row>
    <row r="55" ht="25.5" customHeight="1" s="33">
      <c r="A55" s="15" t="inlineStr">
        <is>
          <t>Confiabilidad</t>
        </is>
      </c>
      <c r="B55" s="16" t="inlineStr">
        <is>
          <t>¿Se necesita que el sistema avise cuando una proyección se calculó con información incompleta?</t>
        </is>
      </c>
      <c r="C55" s="17" t="inlineStr">
        <is>
          <t>SI</t>
        </is>
      </c>
      <c r="D55" s="18" t="inlineStr">
        <is>
          <t>SI</t>
        </is>
      </c>
      <c r="E55" s="18" t="inlineStr">
        <is>
          <t>NO</t>
        </is>
      </c>
      <c r="F55" s="19" t="n"/>
      <c r="J55">
        <f>SUM(G55:I55)</f>
        <v/>
      </c>
    </row>
    <row r="56" ht="42.75" customHeight="1" s="33">
      <c r="A56" s="15" t="inlineStr">
        <is>
          <t>Confiabilidad</t>
        </is>
      </c>
      <c r="B56" s="16" t="inlineStr">
        <is>
          <t>¿Se necesita que el sistema impida publicar una proyección cuando faltan datos de bloques enteros?</t>
        </is>
      </c>
      <c r="C56" s="17" t="inlineStr">
        <is>
          <t>NO</t>
        </is>
      </c>
      <c r="D56" s="18" t="inlineStr">
        <is>
          <t>NO</t>
        </is>
      </c>
      <c r="E56" s="18" t="inlineStr">
        <is>
          <t>NO</t>
        </is>
      </c>
      <c r="F56" s="19" t="inlineStr">
        <is>
          <t>TODO DEBE ESTAR INGRESADO</t>
        </is>
      </c>
      <c r="J56">
        <f>SUM(G56:I56)</f>
        <v/>
      </c>
    </row>
    <row r="57" ht="25.5" customHeight="1" s="33">
      <c r="A57" s="15" t="inlineStr">
        <is>
          <t>Confiabilidad</t>
        </is>
      </c>
      <c r="B57" s="16" t="inlineStr">
        <is>
          <t>¿Se necesita que exista una prueba periódica de que las copias de respaldo efectivamente sirven?</t>
        </is>
      </c>
      <c r="C57" s="17" t="inlineStr">
        <is>
          <t>SI</t>
        </is>
      </c>
      <c r="D57" s="18" t="inlineStr">
        <is>
          <t>SI</t>
        </is>
      </c>
      <c r="E57" s="18" t="inlineStr">
        <is>
          <t>NO</t>
        </is>
      </c>
      <c r="F57" s="19" t="n"/>
      <c r="I57" t="n">
        <v>3</v>
      </c>
      <c r="J57">
        <f>SUM(G57:I57)</f>
        <v/>
      </c>
      <c r="K57" t="inlineStr">
        <is>
          <t>SI</t>
        </is>
      </c>
    </row>
    <row r="58" ht="25.5" customHeight="1" s="33">
      <c r="A58" s="15" t="inlineStr">
        <is>
          <t>Confiabilidad</t>
        </is>
      </c>
      <c r="B58" s="16" t="inlineStr">
        <is>
          <t>¿Se necesita que la aplicación avise cuando el almacenamiento del dispositivo está por llenarse?</t>
        </is>
      </c>
      <c r="C58" s="17" t="inlineStr">
        <is>
          <t>SI</t>
        </is>
      </c>
      <c r="D58" s="18" t="inlineStr">
        <is>
          <t>SI</t>
        </is>
      </c>
      <c r="E58" s="18" t="inlineStr">
        <is>
          <t>SI</t>
        </is>
      </c>
      <c r="F58" s="19" t="n"/>
      <c r="G58" t="n">
        <v>2</v>
      </c>
      <c r="J58">
        <f>SUM(G58:I58)</f>
        <v/>
      </c>
      <c r="K58" t="inlineStr">
        <is>
          <t>SI</t>
        </is>
      </c>
    </row>
    <row r="59" ht="25.5" customHeight="1" s="33">
      <c r="A59" s="15" t="inlineStr">
        <is>
          <t>Disponibilidad</t>
        </is>
      </c>
      <c r="B59" s="16" t="inlineStr">
        <is>
          <t>¿Se necesita capturar información en el área de cultivo sin ninguna conexión de datos?</t>
        </is>
      </c>
      <c r="C59" s="17" t="inlineStr">
        <is>
          <t>SI</t>
        </is>
      </c>
      <c r="D59" s="20" t="inlineStr">
        <is>
          <t>SI</t>
        </is>
      </c>
      <c r="E59" s="20" t="inlineStr">
        <is>
          <t>SI</t>
        </is>
      </c>
      <c r="F59" s="21" t="n"/>
      <c r="G59" t="n">
        <v>5</v>
      </c>
      <c r="J59">
        <f>SUM(G59:I59)</f>
        <v/>
      </c>
      <c r="K59" t="inlineStr">
        <is>
          <t>SI</t>
        </is>
      </c>
    </row>
    <row r="60" ht="25.5" customHeight="1" s="33">
      <c r="A60" s="15" t="inlineStr">
        <is>
          <t>Disponibilidad</t>
        </is>
      </c>
      <c r="B60" s="16" t="inlineStr">
        <is>
          <t>¿Se necesita capturar durante una jornada completa sin sincronizar en ningún momento?</t>
        </is>
      </c>
      <c r="C60" s="17" t="inlineStr">
        <is>
          <t>NO</t>
        </is>
      </c>
      <c r="D60" s="18" t="inlineStr">
        <is>
          <t>NO</t>
        </is>
      </c>
      <c r="E60" s="18" t="inlineStr">
        <is>
          <t>SI</t>
        </is>
      </c>
      <c r="F60" s="19" t="n"/>
      <c r="J60">
        <f>SUM(G60:I60)</f>
        <v/>
      </c>
    </row>
    <row r="61">
      <c r="A61" s="15" t="inlineStr">
        <is>
          <t>Disponibilidad</t>
        </is>
      </c>
      <c r="B61" s="16" t="inlineStr">
        <is>
          <t>¿Se necesita capturar durante tres días seguidos sin sincronizar?</t>
        </is>
      </c>
      <c r="C61" s="17" t="inlineStr">
        <is>
          <t>NO</t>
        </is>
      </c>
      <c r="D61" s="18" t="inlineStr">
        <is>
          <t>NO</t>
        </is>
      </c>
      <c r="E61" s="18" t="inlineStr">
        <is>
          <t>SI</t>
        </is>
      </c>
      <c r="F61" s="19" t="n"/>
      <c r="J61">
        <f>SUM(G61:I61)</f>
        <v/>
      </c>
    </row>
    <row r="62">
      <c r="A62" s="15" t="inlineStr">
        <is>
          <t>Disponibilidad</t>
        </is>
      </c>
      <c r="B62" s="16" t="inlineStr">
        <is>
          <t>¿Se necesita capturar durante una semana seguida sin sincronizar?</t>
        </is>
      </c>
      <c r="C62" s="17" t="inlineStr">
        <is>
          <t>NO</t>
        </is>
      </c>
      <c r="D62" s="18" t="inlineStr">
        <is>
          <t>NO</t>
        </is>
      </c>
      <c r="E62" s="18" t="inlineStr">
        <is>
          <t>SI</t>
        </is>
      </c>
      <c r="F62" s="19" t="n"/>
      <c r="J62">
        <f>SUM(G62:I62)</f>
        <v/>
      </c>
    </row>
    <row r="63">
      <c r="A63" s="15" t="inlineStr">
        <is>
          <t>Disponibilidad</t>
        </is>
      </c>
      <c r="B63" s="16" t="inlineStr">
        <is>
          <t>¿Se necesita capturar durante más de quince días sin sincronizar?</t>
        </is>
      </c>
      <c r="C63" s="17" t="inlineStr">
        <is>
          <t>NO</t>
        </is>
      </c>
      <c r="D63" s="18" t="inlineStr">
        <is>
          <t>NO</t>
        </is>
      </c>
      <c r="E63" s="18" t="inlineStr">
        <is>
          <t>SI</t>
        </is>
      </c>
      <c r="F63" s="19" t="n"/>
      <c r="J63">
        <f>SUM(G63:I63)</f>
        <v/>
      </c>
    </row>
    <row r="64" ht="25.5" customHeight="1" s="33">
      <c r="A64" s="15" t="inlineStr">
        <is>
          <t>Disponibilidad</t>
        </is>
      </c>
      <c r="B64" s="16" t="inlineStr">
        <is>
          <t>¿Se necesita poder consultar la información ya sincronizada aunque en ese momento no haya conexión?</t>
        </is>
      </c>
      <c r="C64" s="17" t="inlineStr">
        <is>
          <t>NO</t>
        </is>
      </c>
      <c r="D64" s="18" t="inlineStr">
        <is>
          <t>NO</t>
        </is>
      </c>
      <c r="E64" s="18" t="inlineStr">
        <is>
          <t>NO</t>
        </is>
      </c>
      <c r="F64" s="19" t="n"/>
      <c r="J64">
        <f>SUM(G64:I64)</f>
        <v/>
      </c>
    </row>
    <row r="65" ht="25.5" customHeight="1" s="33">
      <c r="A65" s="15" t="inlineStr">
        <is>
          <t>Disponibilidad</t>
        </is>
      </c>
      <c r="B65" s="16" t="inlineStr">
        <is>
          <t>¿Se necesita poder consultar la información desde la web aunque la aplicación de captura esté fuera de servicio?</t>
        </is>
      </c>
      <c r="C65" s="17" t="inlineStr">
        <is>
          <t>SI</t>
        </is>
      </c>
      <c r="D65" s="20" t="inlineStr">
        <is>
          <t>SI</t>
        </is>
      </c>
      <c r="E65" s="20" t="inlineStr">
        <is>
          <t>SI</t>
        </is>
      </c>
      <c r="F65" s="21" t="n"/>
      <c r="J65">
        <f>SUM(G65:I65)</f>
        <v/>
      </c>
    </row>
    <row r="66" ht="25.5" customHeight="1" s="33">
      <c r="A66" s="15" t="inlineStr">
        <is>
          <t>Disponibilidad</t>
        </is>
      </c>
      <c r="B66" s="16" t="inlineStr">
        <is>
          <t>¿Se necesita que la captura siga funcionando aunque el servicio en la nube esté caído?</t>
        </is>
      </c>
      <c r="C66" s="17" t="inlineStr">
        <is>
          <t>SI</t>
        </is>
      </c>
      <c r="D66" s="20" t="inlineStr">
        <is>
          <t>SI</t>
        </is>
      </c>
      <c r="E66" s="20" t="inlineStr">
        <is>
          <t>SI</t>
        </is>
      </c>
      <c r="F66" s="21" t="n"/>
      <c r="G66" t="n">
        <v>1</v>
      </c>
      <c r="J66">
        <f>SUM(G66:I66)</f>
        <v/>
      </c>
      <c r="K66" t="inlineStr">
        <is>
          <t>SI</t>
        </is>
      </c>
    </row>
    <row r="67" ht="25.5" customHeight="1" s="33">
      <c r="A67" s="15" t="inlineStr">
        <is>
          <t>Disponibilidad</t>
        </is>
      </c>
      <c r="B67" s="16" t="inlineStr">
        <is>
          <t>¿Se necesita que exista un horario del día en el que el sistema no pueda estar fuera de servicio bajo ninguna circunstancia?</t>
        </is>
      </c>
      <c r="C67" s="17" t="inlineStr">
        <is>
          <t>NO</t>
        </is>
      </c>
      <c r="D67" s="18" t="inlineStr">
        <is>
          <t>NO</t>
        </is>
      </c>
      <c r="E67" s="18" t="inlineStr">
        <is>
          <t>SI</t>
        </is>
      </c>
      <c r="F67" s="19" t="n"/>
      <c r="J67">
        <f>SUM(G67:I67)</f>
        <v/>
      </c>
    </row>
    <row r="68" ht="25.5" customHeight="1" s="33">
      <c r="A68" s="15" t="inlineStr">
        <is>
          <t>Disponibilidad</t>
        </is>
      </c>
      <c r="B68" s="16" t="inlineStr">
        <is>
          <t>¿Se necesita que el sistema esté disponible los siete días de la semana?</t>
        </is>
      </c>
      <c r="C68" s="17" t="inlineStr">
        <is>
          <t>NO</t>
        </is>
      </c>
      <c r="D68" s="18" t="inlineStr">
        <is>
          <t>NO</t>
        </is>
      </c>
      <c r="E68" s="18" t="inlineStr">
        <is>
          <t>SI</t>
        </is>
      </c>
      <c r="F68" s="19" t="n"/>
      <c r="J68">
        <f>SUM(G68:I68)</f>
        <v/>
      </c>
    </row>
    <row r="69" ht="25.5" customHeight="1" s="33">
      <c r="A69" s="15" t="inlineStr">
        <is>
          <t>Disponibilidad</t>
        </is>
      </c>
      <c r="B69" s="16" t="inlineStr">
        <is>
          <t>¿Se necesita que el sistema esté disponible las veinticuatro horas del día?</t>
        </is>
      </c>
      <c r="C69" s="17" t="inlineStr">
        <is>
          <t>NO</t>
        </is>
      </c>
      <c r="D69" s="18" t="inlineStr">
        <is>
          <t>NO</t>
        </is>
      </c>
      <c r="E69" s="18" t="inlineStr">
        <is>
          <t>SI</t>
        </is>
      </c>
      <c r="F69" s="19" t="n"/>
      <c r="J69">
        <f>SUM(G69:I69)</f>
        <v/>
      </c>
    </row>
    <row r="70" ht="25.5" customHeight="1" s="33">
      <c r="A70" s="15" t="inlineStr">
        <is>
          <t>Disponibilidad</t>
        </is>
      </c>
      <c r="B70" s="16" t="inlineStr">
        <is>
          <t>¿Se necesita que exista un periodo del año (temporada alta) con una exigencia de disponibilidad mayor que el resto?</t>
        </is>
      </c>
      <c r="C70" s="17" t="inlineStr">
        <is>
          <t>SI</t>
        </is>
      </c>
      <c r="D70" s="20" t="inlineStr">
        <is>
          <t>SI</t>
        </is>
      </c>
      <c r="E70" s="20" t="inlineStr">
        <is>
          <t>SI</t>
        </is>
      </c>
      <c r="F70" s="21" t="n"/>
      <c r="J70">
        <f>SUM(G70:I70)</f>
        <v/>
      </c>
    </row>
    <row r="71" ht="25.5" customHeight="1" s="33">
      <c r="A71" s="15" t="inlineStr">
        <is>
          <t>Disponibilidad</t>
        </is>
      </c>
      <c r="B71" s="16" t="inlineStr">
        <is>
          <t>¿Se necesita que una interrupción del servicio se resuelva en menos de una hora?</t>
        </is>
      </c>
      <c r="C71" s="17" t="inlineStr">
        <is>
          <t>SI</t>
        </is>
      </c>
      <c r="D71" s="18" t="inlineStr">
        <is>
          <t>SI</t>
        </is>
      </c>
      <c r="E71" s="18" t="inlineStr">
        <is>
          <t>SI</t>
        </is>
      </c>
      <c r="F71" s="19" t="n"/>
      <c r="J71">
        <f>SUM(G71:I71)</f>
        <v/>
      </c>
    </row>
    <row r="72" ht="25.5" customHeight="1" s="33">
      <c r="A72" s="15" t="inlineStr">
        <is>
          <t>Disponibilidad</t>
        </is>
      </c>
      <c r="B72" s="16" t="inlineStr">
        <is>
          <t>¿Se necesita que una interrupción del servicio se resuelva dentro del mismo día?</t>
        </is>
      </c>
      <c r="C72" s="17" t="inlineStr">
        <is>
          <t>SI</t>
        </is>
      </c>
      <c r="D72" s="18" t="inlineStr">
        <is>
          <t>SI</t>
        </is>
      </c>
      <c r="E72" s="18" t="inlineStr">
        <is>
          <t>SI</t>
        </is>
      </c>
      <c r="F72" s="19" t="n"/>
      <c r="J72">
        <f>SUM(G72:I72)</f>
        <v/>
      </c>
    </row>
    <row r="73" ht="25.5" customHeight="1" s="33">
      <c r="A73" s="15" t="inlineStr">
        <is>
          <t>Disponibilidad</t>
        </is>
      </c>
      <c r="B73" s="16" t="inlineStr">
        <is>
          <t>¿Se necesita que las labores de mantenimiento se avisen con anticipación?</t>
        </is>
      </c>
      <c r="C73" s="17" t="inlineStr">
        <is>
          <t>SI</t>
        </is>
      </c>
      <c r="D73" s="18" t="inlineStr">
        <is>
          <t>SI</t>
        </is>
      </c>
      <c r="E73" s="18" t="inlineStr">
        <is>
          <t>SI</t>
        </is>
      </c>
      <c r="F73" s="19" t="n"/>
      <c r="J73">
        <f>SUM(G73:I73)</f>
        <v/>
      </c>
    </row>
    <row r="74" ht="25.5" customHeight="1" s="33">
      <c r="A74" s="15" t="inlineStr">
        <is>
          <t>Disponibilidad</t>
        </is>
      </c>
      <c r="B74" s="16" t="inlineStr">
        <is>
          <t>¿Se necesita que las labores de mantenimiento se hagan sin sacar el sistema de servicio?</t>
        </is>
      </c>
      <c r="C74" s="17" t="inlineStr">
        <is>
          <t>SI</t>
        </is>
      </c>
      <c r="D74" s="18" t="inlineStr">
        <is>
          <t>SI</t>
        </is>
      </c>
      <c r="E74" s="18" t="inlineStr">
        <is>
          <t>NO</t>
        </is>
      </c>
      <c r="F74" s="19" t="n"/>
      <c r="J74">
        <f>SUM(G74:I74)</f>
        <v/>
      </c>
    </row>
    <row r="75" ht="25.5" customHeight="1" s="33">
      <c r="A75" s="15" t="inlineStr">
        <is>
          <t>Disponibilidad</t>
        </is>
      </c>
      <c r="B75" s="16" t="inlineStr">
        <is>
          <t>¿Se necesita poder continuar la captura en otro dispositivo cuando el que se estaba usando deja de funcionar?</t>
        </is>
      </c>
      <c r="C75" s="17" t="inlineStr">
        <is>
          <t>SI</t>
        </is>
      </c>
      <c r="D75" s="20" t="inlineStr">
        <is>
          <t>SI</t>
        </is>
      </c>
      <c r="E75" s="20" t="inlineStr">
        <is>
          <t>NO</t>
        </is>
      </c>
      <c r="F75" s="21" t="n"/>
      <c r="J75">
        <f>SUM(G75:I75)</f>
        <v/>
      </c>
    </row>
    <row r="76" ht="25.5" customHeight="1" s="33">
      <c r="A76" s="15" t="inlineStr">
        <is>
          <t>Disponibilidad</t>
        </is>
      </c>
      <c r="B76" s="16" t="inlineStr">
        <is>
          <t>¿Se necesita que la información capturada en un dispositivo que se dañó o se perdió pueda recuperarse?</t>
        </is>
      </c>
      <c r="C76" s="17" t="inlineStr">
        <is>
          <t>NO</t>
        </is>
      </c>
      <c r="D76" s="18" t="inlineStr">
        <is>
          <t>SI</t>
        </is>
      </c>
      <c r="E76" s="18" t="inlineStr">
        <is>
          <t>SI</t>
        </is>
      </c>
      <c r="F76" s="19" t="n"/>
      <c r="J76">
        <f>SUM(G76:I76)</f>
        <v/>
      </c>
    </row>
    <row r="77" ht="25.5" customHeight="1" s="33">
      <c r="A77" s="15" t="inlineStr">
        <is>
          <t>Disponibilidad</t>
        </is>
      </c>
      <c r="B77" s="16" t="inlineStr">
        <is>
          <t>¿Se necesita que una falla que afecte a una finca no afecte a las demás fincas o empresas?</t>
        </is>
      </c>
      <c r="C77" s="17" t="inlineStr">
        <is>
          <t>SI</t>
        </is>
      </c>
      <c r="D77" s="20" t="inlineStr">
        <is>
          <t>SI</t>
        </is>
      </c>
      <c r="E77" s="20" t="inlineStr">
        <is>
          <t>SI</t>
        </is>
      </c>
      <c r="F77" s="21" t="n"/>
      <c r="J77">
        <f>SUM(G77:I77)</f>
        <v/>
      </c>
    </row>
    <row r="78" ht="25.5" customHeight="1" s="33">
      <c r="A78" s="15" t="inlineStr">
        <is>
          <t>Disponibilidad</t>
        </is>
      </c>
      <c r="B78" s="16" t="inlineStr">
        <is>
          <t>¿Se necesita que el sistema avise cuando un dispositivo lleva demasiado tiempo sin sincronizar?</t>
        </is>
      </c>
      <c r="C78" s="17" t="inlineStr">
        <is>
          <t>SI</t>
        </is>
      </c>
      <c r="D78" s="20" t="inlineStr">
        <is>
          <t>SI</t>
        </is>
      </c>
      <c r="E78" s="20" t="inlineStr">
        <is>
          <t>SI</t>
        </is>
      </c>
      <c r="F78" s="21" t="n"/>
      <c r="G78" t="n">
        <v>3</v>
      </c>
      <c r="J78">
        <f>SUM(G78:I78)</f>
        <v/>
      </c>
      <c r="K78" t="inlineStr">
        <is>
          <t>SI</t>
        </is>
      </c>
    </row>
    <row r="79" ht="25.5" customHeight="1" s="33">
      <c r="A79" s="15" t="inlineStr">
        <is>
          <t>Rendimiento</t>
        </is>
      </c>
      <c r="B79" s="16" t="inlineStr">
        <is>
          <t>¿Se necesita que registrar una cama completa tome menos tiempo del que hoy toma llenarla en papel?</t>
        </is>
      </c>
      <c r="C79" s="17" t="inlineStr">
        <is>
          <t>SI</t>
        </is>
      </c>
      <c r="D79" s="18" t="inlineStr">
        <is>
          <t>SI</t>
        </is>
      </c>
      <c r="E79" s="18" t="inlineStr">
        <is>
          <t>NO</t>
        </is>
      </c>
      <c r="F79" s="19" t="n"/>
      <c r="J79">
        <f>SUM(G79:I79)</f>
        <v/>
      </c>
    </row>
    <row r="80" ht="25.5" customHeight="1" s="33">
      <c r="A80" s="15" t="inlineStr">
        <is>
          <t>Rendimiento</t>
        </is>
      </c>
      <c r="B80" s="16" t="inlineStr">
        <is>
          <t>¿Se necesita que registrar una cama completa tome menos de un minuto?</t>
        </is>
      </c>
      <c r="C80" s="17" t="inlineStr">
        <is>
          <t>SI</t>
        </is>
      </c>
      <c r="D80" s="18" t="inlineStr">
        <is>
          <t>SI</t>
        </is>
      </c>
      <c r="E80" s="18" t="inlineStr">
        <is>
          <t>NO</t>
        </is>
      </c>
      <c r="F80" s="19" t="inlineStr">
        <is>
          <t>*</t>
        </is>
      </c>
      <c r="J80">
        <f>SUM(G80:I80)</f>
        <v/>
      </c>
    </row>
    <row r="81" ht="25.5" customHeight="1" s="33">
      <c r="A81" s="15" t="inlineStr">
        <is>
          <t>Rendimiento</t>
        </is>
      </c>
      <c r="B81" s="16" t="inlineStr">
        <is>
          <t>¿Se necesita que registrar una cama completa tome menos de treinta segundos?</t>
        </is>
      </c>
      <c r="C81" s="17" t="inlineStr">
        <is>
          <t>SI</t>
        </is>
      </c>
      <c r="D81" s="18" t="inlineStr">
        <is>
          <t>SI</t>
        </is>
      </c>
      <c r="E81" s="18" t="inlineStr">
        <is>
          <t>NO</t>
        </is>
      </c>
      <c r="F81" s="19" t="n"/>
      <c r="J81">
        <f>SUM(G81:I81)</f>
        <v/>
      </c>
    </row>
    <row r="82" ht="25.5" customHeight="1" s="33">
      <c r="A82" s="15" t="inlineStr">
        <is>
          <t>Rendimiento</t>
        </is>
      </c>
      <c r="B82" s="16" t="inlineStr">
        <is>
          <t>¿Se necesita poder capturar un bloque completo dentro de una sola jornada?</t>
        </is>
      </c>
      <c r="C82" s="17" t="inlineStr">
        <is>
          <t>SI</t>
        </is>
      </c>
      <c r="D82" s="18" t="inlineStr">
        <is>
          <t>SI</t>
        </is>
      </c>
      <c r="E82" s="18" t="inlineStr">
        <is>
          <t>NO</t>
        </is>
      </c>
      <c r="F82" s="19" t="inlineStr">
        <is>
          <t>*SOBRA</t>
        </is>
      </c>
      <c r="J82">
        <f>SUM(G82:I82)</f>
        <v/>
      </c>
    </row>
    <row r="83" ht="25.5" customHeight="1" s="33">
      <c r="A83" s="15" t="inlineStr">
        <is>
          <t>Rendimiento</t>
        </is>
      </c>
      <c r="B83" s="16" t="inlineStr">
        <is>
          <t>¿Se necesita poder capturar la finca completa dentro de una sola jornada?</t>
        </is>
      </c>
      <c r="C83" s="17" t="inlineStr">
        <is>
          <t>SI</t>
        </is>
      </c>
      <c r="D83" s="18" t="inlineStr">
        <is>
          <t>SI</t>
        </is>
      </c>
      <c r="E83" s="18" t="inlineStr">
        <is>
          <t>NO</t>
        </is>
      </c>
      <c r="F83" s="19" t="inlineStr">
        <is>
          <t>*SOBRA</t>
        </is>
      </c>
      <c r="J83">
        <f>SUM(G83:I83)</f>
        <v/>
      </c>
    </row>
    <row r="84" ht="25.5" customHeight="1" s="33">
      <c r="A84" s="15" t="inlineStr">
        <is>
          <t>Rendimiento</t>
        </is>
      </c>
      <c r="B84" s="16" t="inlineStr">
        <is>
          <t>¿Se necesita que cada dato quede guardado de inmediato, sin espera perceptible?</t>
        </is>
      </c>
      <c r="C84" s="17" t="inlineStr">
        <is>
          <t>SI</t>
        </is>
      </c>
      <c r="D84" s="20" t="inlineStr">
        <is>
          <t>SI</t>
        </is>
      </c>
      <c r="E84" s="20" t="inlineStr">
        <is>
          <t>SI</t>
        </is>
      </c>
      <c r="F84" s="21" t="n"/>
      <c r="G84" t="n">
        <v>2</v>
      </c>
      <c r="J84">
        <f>SUM(G84:I84)</f>
        <v/>
      </c>
      <c r="K84" t="inlineStr">
        <is>
          <t>SI</t>
        </is>
      </c>
    </row>
    <row r="85" ht="25.5" customHeight="1" s="33">
      <c r="A85" s="15" t="inlineStr">
        <is>
          <t>Rendimiento</t>
        </is>
      </c>
      <c r="B85" s="16" t="inlineStr">
        <is>
          <t>¿Se necesita que el paso de una pantalla a la siguiente sea inmediato aun sin conexión?</t>
        </is>
      </c>
      <c r="C85" s="17" t="inlineStr">
        <is>
          <t>SI</t>
        </is>
      </c>
      <c r="D85" s="18" t="inlineStr">
        <is>
          <t>SI</t>
        </is>
      </c>
      <c r="E85" s="18" t="inlineStr">
        <is>
          <t>SI</t>
        </is>
      </c>
      <c r="F85" s="19" t="inlineStr">
        <is>
          <t>*</t>
        </is>
      </c>
      <c r="G85" t="n">
        <v>2</v>
      </c>
      <c r="J85">
        <f>SUM(G85:I85)</f>
        <v/>
      </c>
      <c r="K85" t="inlineStr">
        <is>
          <t>SI</t>
        </is>
      </c>
    </row>
    <row r="86" ht="42.75" customHeight="1" s="33">
      <c r="A86" s="15" t="inlineStr">
        <is>
          <t>Rendimiento</t>
        </is>
      </c>
      <c r="B86" s="16" t="inlineStr">
        <is>
          <t>¿Se necesita que buscar una cama por su código dé resultado de inmediato?</t>
        </is>
      </c>
      <c r="C86" s="17" t="inlineStr">
        <is>
          <t>SI</t>
        </is>
      </c>
      <c r="D86" s="18" t="inlineStr">
        <is>
          <t>SI</t>
        </is>
      </c>
      <c r="E86" s="18" t="inlineStr">
        <is>
          <t>NO</t>
        </is>
      </c>
      <c r="F86" s="19" t="inlineStr">
        <is>
          <t>LIGERO, NO DE INMEDIATO</t>
        </is>
      </c>
      <c r="J86">
        <f>SUM(G86:I86)</f>
        <v/>
      </c>
    </row>
    <row r="87" ht="25.5" customHeight="1" s="33">
      <c r="A87" s="15" t="inlineStr">
        <is>
          <t>Rendimiento</t>
        </is>
      </c>
      <c r="B87" s="16" t="inlineStr">
        <is>
          <t>¿Se necesita que la sincronización de una jornada completa termine en menos de cinco minutos?</t>
        </is>
      </c>
      <c r="C87" s="17" t="inlineStr">
        <is>
          <t>NO</t>
        </is>
      </c>
      <c r="D87" s="18" t="inlineStr">
        <is>
          <t>NO</t>
        </is>
      </c>
      <c r="E87" s="18" t="inlineStr">
        <is>
          <t>NO</t>
        </is>
      </c>
      <c r="F87" s="19" t="n"/>
      <c r="J87">
        <f>SUM(G87:I87)</f>
        <v/>
      </c>
    </row>
    <row r="88" ht="28.5" customHeight="1" s="33">
      <c r="A88" s="15" t="inlineStr">
        <is>
          <t>Rendimiento</t>
        </is>
      </c>
      <c r="B88" s="16" t="inlineStr">
        <is>
          <t>¿Se necesita que la sincronización ocurra en segundo plano, sin impedir seguir capturando?</t>
        </is>
      </c>
      <c r="C88" s="17" t="inlineStr">
        <is>
          <t>SI</t>
        </is>
      </c>
      <c r="D88" s="20" t="inlineStr">
        <is>
          <t>SI</t>
        </is>
      </c>
      <c r="E88" s="20" t="inlineStr">
        <is>
          <t>SI</t>
        </is>
      </c>
      <c r="F88" s="21" t="inlineStr">
        <is>
          <t>SERIA EL IDEAL</t>
        </is>
      </c>
      <c r="J88">
        <f>SUM(G88:I88)</f>
        <v/>
      </c>
    </row>
    <row r="89" ht="25.5" customHeight="1" s="33">
      <c r="A89" s="15" t="inlineStr">
        <is>
          <t>Rendimiento</t>
        </is>
      </c>
      <c r="B89" s="16" t="inlineStr">
        <is>
          <t>¿Se necesita que muchos dispositivos puedan sincronizar al mismo tiempo al terminar la jornada sin que el sistema se degrade?</t>
        </is>
      </c>
      <c r="C89" s="17" t="inlineStr">
        <is>
          <t>SI</t>
        </is>
      </c>
      <c r="D89" s="20" t="inlineStr">
        <is>
          <t>SI</t>
        </is>
      </c>
      <c r="E89" s="20" t="inlineStr">
        <is>
          <t>SI</t>
        </is>
      </c>
      <c r="F89" s="21" t="n"/>
      <c r="G89" t="n">
        <v>1</v>
      </c>
      <c r="I89" t="n">
        <v>1</v>
      </c>
      <c r="J89">
        <f>SUM(G89:I89)</f>
        <v/>
      </c>
      <c r="K89" t="inlineStr">
        <is>
          <t>SI</t>
        </is>
      </c>
    </row>
    <row r="90" ht="25.5" customHeight="1" s="33">
      <c r="A90" s="15" t="inlineStr">
        <is>
          <t>Rendimiento</t>
        </is>
      </c>
      <c r="B90" s="16" t="inlineStr">
        <is>
          <t>¿Se necesita que la información sincronizada se vea reflejada en la consulta web de inmediato?</t>
        </is>
      </c>
      <c r="C90" s="17" t="inlineStr">
        <is>
          <t>NO</t>
        </is>
      </c>
      <c r="D90" s="18" t="inlineStr">
        <is>
          <t>NO</t>
        </is>
      </c>
      <c r="E90" s="18" t="inlineStr">
        <is>
          <t>SI</t>
        </is>
      </c>
      <c r="F90" s="19" t="n"/>
      <c r="J90">
        <f>SUM(G90:I90)</f>
        <v/>
      </c>
    </row>
    <row r="91" ht="25.5" customHeight="1" s="33">
      <c r="A91" s="15" t="inlineStr">
        <is>
          <t>Rendimiento</t>
        </is>
      </c>
      <c r="B91" s="16" t="inlineStr">
        <is>
          <t>¿Se necesita que la información sincronizada se vea reflejada en la consulta web dentro de la misma hora?</t>
        </is>
      </c>
      <c r="C91" s="17" t="inlineStr">
        <is>
          <t>SI</t>
        </is>
      </c>
      <c r="D91" s="20" t="inlineStr">
        <is>
          <t>SI</t>
        </is>
      </c>
      <c r="E91" s="20" t="inlineStr">
        <is>
          <t>SI</t>
        </is>
      </c>
      <c r="F91" s="21" t="n"/>
      <c r="H91" t="n">
        <v>1</v>
      </c>
      <c r="J91">
        <f>SUM(G91:I91)</f>
        <v/>
      </c>
      <c r="K91" t="inlineStr">
        <is>
          <t>SI</t>
        </is>
      </c>
    </row>
    <row r="92" ht="25.5" customHeight="1" s="33">
      <c r="A92" s="15" t="inlineStr">
        <is>
          <t>Rendimiento</t>
        </is>
      </c>
      <c r="B92" s="16" t="inlineStr">
        <is>
          <t>¿Se necesita que la información sincronizada se vea reflejada al día siguiente?</t>
        </is>
      </c>
      <c r="C92" s="17" t="inlineStr">
        <is>
          <t>SI</t>
        </is>
      </c>
      <c r="D92" s="18" t="inlineStr">
        <is>
          <t>SI</t>
        </is>
      </c>
      <c r="E92" s="18" t="inlineStr">
        <is>
          <t>SI</t>
        </is>
      </c>
      <c r="F92" s="19" t="n"/>
      <c r="J92">
        <f>SUM(G92:I92)</f>
        <v/>
      </c>
    </row>
    <row r="93" ht="25.5" customHeight="1" s="33">
      <c r="A93" s="15" t="inlineStr">
        <is>
          <t>Rendimiento</t>
        </is>
      </c>
      <c r="B93" s="16" t="inlineStr">
        <is>
          <t>¿Se necesita que un reporte de un mes se genere en menos de diez segundos?</t>
        </is>
      </c>
      <c r="C93" s="17" t="inlineStr">
        <is>
          <t>NO</t>
        </is>
      </c>
      <c r="D93" s="18" t="inlineStr">
        <is>
          <t>NO</t>
        </is>
      </c>
      <c r="E93" s="18" t="inlineStr">
        <is>
          <t>NO</t>
        </is>
      </c>
      <c r="F93" s="19" t="n"/>
      <c r="J93">
        <f>SUM(G93:I93)</f>
        <v/>
      </c>
    </row>
    <row r="94" ht="25.5" customHeight="1" s="33">
      <c r="A94" s="15" t="inlineStr">
        <is>
          <t>Rendimiento</t>
        </is>
      </c>
      <c r="B94" s="16" t="inlineStr">
        <is>
          <t>¿Se necesita que un reporte que abarque varios años se genere sin espera significativa?</t>
        </is>
      </c>
      <c r="C94" s="17" t="inlineStr">
        <is>
          <t>NO</t>
        </is>
      </c>
      <c r="D94" s="18" t="inlineStr">
        <is>
          <t>NO</t>
        </is>
      </c>
      <c r="E94" s="18" t="inlineStr">
        <is>
          <t>NO</t>
        </is>
      </c>
      <c r="F94" s="19" t="n"/>
      <c r="J94">
        <f>SUM(G94:I94)</f>
        <v/>
      </c>
    </row>
    <row r="95" ht="25.5" customHeight="1" s="33">
      <c r="A95" s="15" t="inlineStr">
        <is>
          <t>Rendimiento</t>
        </is>
      </c>
      <c r="B95" s="16" t="inlineStr">
        <is>
          <t>¿Se necesita que la proyección se recalcule en el momento en que llega información nueva?</t>
        </is>
      </c>
      <c r="C95" s="17" t="inlineStr">
        <is>
          <t>SI</t>
        </is>
      </c>
      <c r="D95" s="20" t="inlineStr">
        <is>
          <t>SI</t>
        </is>
      </c>
      <c r="E95" s="20" t="inlineStr">
        <is>
          <t>SI</t>
        </is>
      </c>
      <c r="F95" s="21" t="n"/>
      <c r="H95" t="n">
        <v>5</v>
      </c>
      <c r="J95">
        <f>SUM(G95:I95)</f>
        <v/>
      </c>
      <c r="K95" t="inlineStr">
        <is>
          <t>SI</t>
        </is>
      </c>
    </row>
    <row r="96" ht="25.5" customHeight="1" s="33">
      <c r="A96" s="15" t="inlineStr">
        <is>
          <t>Rendimiento</t>
        </is>
      </c>
      <c r="B96" s="16" t="inlineStr">
        <is>
          <t>¿Se necesita que la proyección se recalcule una vez al día en un horario fijo?</t>
        </is>
      </c>
      <c r="C96" s="17" t="inlineStr">
        <is>
          <t>NO</t>
        </is>
      </c>
      <c r="D96" s="18" t="inlineStr">
        <is>
          <t>NO</t>
        </is>
      </c>
      <c r="E96" s="18" t="inlineStr">
        <is>
          <t>NO</t>
        </is>
      </c>
      <c r="F96" s="19" t="n"/>
      <c r="J96">
        <f>SUM(G96:I96)</f>
        <v/>
      </c>
    </row>
    <row r="97" ht="25.5" customHeight="1" s="33">
      <c r="A97" s="15" t="inlineStr">
        <is>
          <t>Rendimiento</t>
        </is>
      </c>
      <c r="B97" s="16" t="inlineStr">
        <is>
          <t>¿Se necesita que la aplicación funcione con fluidez en dispositivos de gama baja o de varios años de antigüedad?</t>
        </is>
      </c>
      <c r="C97" s="17" t="inlineStr">
        <is>
          <t>NO</t>
        </is>
      </c>
      <c r="D97" s="18" t="inlineStr">
        <is>
          <t>NO</t>
        </is>
      </c>
      <c r="E97" s="18" t="inlineStr">
        <is>
          <t>NO</t>
        </is>
      </c>
      <c r="F97" s="19" t="n"/>
      <c r="J97">
        <f>SUM(G97:I97)</f>
        <v/>
      </c>
    </row>
    <row r="98" ht="25.5" customHeight="1" s="33">
      <c r="A98" s="15" t="inlineStr">
        <is>
          <t>Rendimiento</t>
        </is>
      </c>
      <c r="B98" s="16" t="inlineStr">
        <is>
          <t>¿Se necesita que la aplicación no agote la batería del dispositivo antes de terminar la jornada?</t>
        </is>
      </c>
      <c r="C98" s="17" t="inlineStr">
        <is>
          <t>SI</t>
        </is>
      </c>
      <c r="D98" s="20" t="inlineStr">
        <is>
          <t>SI</t>
        </is>
      </c>
      <c r="E98" s="20" t="inlineStr">
        <is>
          <t>NO</t>
        </is>
      </c>
      <c r="F98" s="21" t="n"/>
      <c r="J98">
        <f>SUM(G98:I98)</f>
        <v/>
      </c>
    </row>
    <row r="99" ht="25.5" customHeight="1" s="33">
      <c r="A99" s="15" t="inlineStr">
        <is>
          <t>Rendimiento</t>
        </is>
      </c>
      <c r="B99" s="16" t="inlineStr">
        <is>
          <t>¿Se necesita que el rendimiento se mantenga igual en temporada alta que en el resto del año?</t>
        </is>
      </c>
      <c r="C99" s="17" t="inlineStr">
        <is>
          <t>SI</t>
        </is>
      </c>
      <c r="D99" s="20" t="inlineStr">
        <is>
          <t>SI</t>
        </is>
      </c>
      <c r="E99" s="20" t="inlineStr">
        <is>
          <t>SI</t>
        </is>
      </c>
      <c r="F99" s="21" t="n"/>
      <c r="H99" t="n">
        <v>1</v>
      </c>
      <c r="J99">
        <f>SUM(G99:I99)</f>
        <v/>
      </c>
      <c r="K99" t="inlineStr">
        <is>
          <t>SI</t>
        </is>
      </c>
    </row>
    <row r="100">
      <c r="A100" s="15" t="inlineStr">
        <is>
          <t>Capacidad para ser Auditado</t>
        </is>
      </c>
      <c r="B100" s="16" t="inlineStr">
        <is>
          <t>¿Se necesita saber quién capturó cada dato?</t>
        </is>
      </c>
      <c r="C100" s="17" t="inlineStr">
        <is>
          <t>SI</t>
        </is>
      </c>
      <c r="D100" s="20" t="inlineStr">
        <is>
          <t>SI</t>
        </is>
      </c>
      <c r="E100" s="20" t="inlineStr">
        <is>
          <t>SI</t>
        </is>
      </c>
      <c r="F100" s="21" t="n"/>
      <c r="J100">
        <f>SUM(G100:I100)</f>
        <v/>
      </c>
    </row>
    <row r="101" ht="25.5" customHeight="1" s="33">
      <c r="A101" s="15" t="inlineStr">
        <is>
          <t>Capacidad para ser Auditado</t>
        </is>
      </c>
      <c r="B101" s="16" t="inlineStr">
        <is>
          <t>¿Se necesita saber la fecha y la hora exactas en que se capturó cada dato?</t>
        </is>
      </c>
      <c r="C101" s="17" t="inlineStr">
        <is>
          <t>SI</t>
        </is>
      </c>
      <c r="D101" s="18" t="inlineStr">
        <is>
          <t>SI</t>
        </is>
      </c>
      <c r="E101" s="18" t="inlineStr">
        <is>
          <t>NO</t>
        </is>
      </c>
      <c r="F101" s="19" t="n"/>
      <c r="J101">
        <f>SUM(G101:I101)</f>
        <v/>
      </c>
    </row>
    <row r="102" ht="25.5" customHeight="1" s="33">
      <c r="A102" s="15" t="inlineStr">
        <is>
          <t>Capacidad para ser Auditado</t>
        </is>
      </c>
      <c r="B102" s="16" t="inlineStr">
        <is>
          <t>¿Se necesita distinguir la hora en que se capturó de la hora en que se sincronizó?</t>
        </is>
      </c>
      <c r="C102" s="17" t="inlineStr">
        <is>
          <t>SI</t>
        </is>
      </c>
      <c r="D102" s="18" t="inlineStr">
        <is>
          <t>SI</t>
        </is>
      </c>
      <c r="E102" s="18" t="inlineStr">
        <is>
          <t>NO</t>
        </is>
      </c>
      <c r="F102" s="19" t="inlineStr">
        <is>
          <t>*</t>
        </is>
      </c>
      <c r="J102">
        <f>SUM(G102:I102)</f>
        <v/>
      </c>
    </row>
    <row r="103">
      <c r="A103" s="15" t="inlineStr">
        <is>
          <t>Capacidad para ser Auditado</t>
        </is>
      </c>
      <c r="B103" s="16" t="inlineStr">
        <is>
          <t>¿Se necesita saber desde qué dispositivo se capturó cada dato?</t>
        </is>
      </c>
      <c r="C103" s="17" t="inlineStr">
        <is>
          <t>SI</t>
        </is>
      </c>
      <c r="D103" s="18" t="inlineStr">
        <is>
          <t>NO</t>
        </is>
      </c>
      <c r="E103" s="18" t="inlineStr">
        <is>
          <t>SI</t>
        </is>
      </c>
      <c r="F103" s="19" t="n"/>
      <c r="J103">
        <f>SUM(G103:I103)</f>
        <v/>
      </c>
    </row>
    <row r="104" ht="25.5" customHeight="1" s="33">
      <c r="A104" s="15" t="inlineStr">
        <is>
          <t>Capacidad para ser Auditado</t>
        </is>
      </c>
      <c r="B104" s="16" t="inlineStr">
        <is>
          <t>¿Se necesita saber en qué lugar físico se encontraba el dispositivo al capturar?</t>
        </is>
      </c>
      <c r="C104" s="17" t="inlineStr">
        <is>
          <t>NO</t>
        </is>
      </c>
      <c r="D104" s="18" t="inlineStr">
        <is>
          <t>NO</t>
        </is>
      </c>
      <c r="E104" s="18" t="inlineStr">
        <is>
          <t>NO</t>
        </is>
      </c>
      <c r="F104" s="19" t="n"/>
      <c r="J104">
        <f>SUM(G104:I104)</f>
        <v/>
      </c>
    </row>
    <row r="105" ht="25.5" customHeight="1" s="33">
      <c r="A105" s="15" t="inlineStr">
        <is>
          <t>Capacidad para ser Auditado</t>
        </is>
      </c>
      <c r="B105" s="16" t="inlineStr">
        <is>
          <t>¿Se necesita conservar todas las versiones anteriores de un dato modificado, y no solo la última?</t>
        </is>
      </c>
      <c r="C105" s="17" t="inlineStr">
        <is>
          <t>NO</t>
        </is>
      </c>
      <c r="D105" s="18" t="inlineStr">
        <is>
          <t>NO</t>
        </is>
      </c>
      <c r="E105" s="18" t="inlineStr">
        <is>
          <t>NO</t>
        </is>
      </c>
      <c r="F105" s="19" t="n"/>
      <c r="J105">
        <f>SUM(G105:I105)</f>
        <v/>
      </c>
    </row>
    <row r="106">
      <c r="A106" s="15" t="inlineStr">
        <is>
          <t>Capacidad para ser Auditado</t>
        </is>
      </c>
      <c r="B106" s="16" t="inlineStr">
        <is>
          <t>¿Se necesita saber quién hizo cada modificación y por qué motivo?</t>
        </is>
      </c>
      <c r="C106" s="17" t="inlineStr">
        <is>
          <t>NO</t>
        </is>
      </c>
      <c r="D106" s="18" t="inlineStr">
        <is>
          <t>SI</t>
        </is>
      </c>
      <c r="E106" s="18" t="inlineStr">
        <is>
          <t>NO</t>
        </is>
      </c>
      <c r="F106" s="19" t="n"/>
      <c r="J106">
        <f>SUM(G106:I106)</f>
        <v/>
      </c>
    </row>
    <row r="107" ht="25.5" customHeight="1" s="33">
      <c r="A107" s="15" t="inlineStr">
        <is>
          <t>Capacidad para ser Auditado</t>
        </is>
      </c>
      <c r="B107" s="16" t="inlineStr">
        <is>
          <t>¿Se necesita poder ver la historia completa de una cama desde la siembra hasta la erradicación?</t>
        </is>
      </c>
      <c r="C107" s="17" t="inlineStr">
        <is>
          <t>SI</t>
        </is>
      </c>
      <c r="D107" s="20" t="inlineStr">
        <is>
          <t>SI</t>
        </is>
      </c>
      <c r="E107" s="20" t="inlineStr">
        <is>
          <t>SI</t>
        </is>
      </c>
      <c r="F107" s="21" t="n"/>
      <c r="H107" t="n">
        <v>4</v>
      </c>
      <c r="J107">
        <f>SUM(G107:I107)</f>
        <v/>
      </c>
      <c r="K107" t="inlineStr">
        <is>
          <t>SI</t>
        </is>
      </c>
    </row>
    <row r="108" ht="25.5" customHeight="1" s="33">
      <c r="A108" s="15" t="inlineStr">
        <is>
          <t>Capacidad para ser Auditado</t>
        </is>
      </c>
      <c r="B108" s="16" t="inlineStr">
        <is>
          <t>¿Se necesita poder ver la historia completa de un lote a través de varias camas?</t>
        </is>
      </c>
      <c r="C108" s="17" t="inlineStr">
        <is>
          <t>SI</t>
        </is>
      </c>
      <c r="D108" s="18" t="inlineStr">
        <is>
          <t>SI</t>
        </is>
      </c>
      <c r="E108" s="18" t="inlineStr">
        <is>
          <t>SI</t>
        </is>
      </c>
      <c r="F108" s="19" t="inlineStr">
        <is>
          <t>*</t>
        </is>
      </c>
      <c r="H108" t="n">
        <v>1</v>
      </c>
      <c r="J108">
        <f>SUM(G108:I108)</f>
        <v/>
      </c>
      <c r="K108" t="inlineStr">
        <is>
          <t>SI</t>
        </is>
      </c>
    </row>
    <row r="109" ht="25.5" customHeight="1" s="33">
      <c r="A109" s="15" t="inlineStr">
        <is>
          <t>Capacidad para ser Auditado</t>
        </is>
      </c>
      <c r="B109" s="16" t="inlineStr">
        <is>
          <t>¿Se necesita poder ver la historia completa de una variedad a través de varios ciclos?</t>
        </is>
      </c>
      <c r="C109" s="17" t="inlineStr">
        <is>
          <t>SI</t>
        </is>
      </c>
      <c r="D109" s="20" t="inlineStr">
        <is>
          <t>SI</t>
        </is>
      </c>
      <c r="E109" s="20" t="inlineStr">
        <is>
          <t>SI</t>
        </is>
      </c>
      <c r="F109" s="21" t="n"/>
      <c r="J109">
        <f>SUM(G109:I109)</f>
        <v/>
      </c>
    </row>
    <row r="110" ht="25.5" customHeight="1" s="33">
      <c r="A110" s="15" t="inlineStr">
        <is>
          <t>Capacidad para ser Auditado</t>
        </is>
      </c>
      <c r="B110" s="16" t="inlineStr">
        <is>
          <t>¿Se necesita poder llegar, desde una cifra de un reporte, hasta los datos individuales que la componen?</t>
        </is>
      </c>
      <c r="C110" s="17" t="inlineStr">
        <is>
          <t>SI</t>
        </is>
      </c>
      <c r="D110" s="20" t="inlineStr">
        <is>
          <t>SI</t>
        </is>
      </c>
      <c r="E110" s="20" t="inlineStr">
        <is>
          <t>SI</t>
        </is>
      </c>
      <c r="F110" s="21" t="n"/>
      <c r="H110" t="n">
        <v>2</v>
      </c>
      <c r="J110">
        <f>SUM(G110:I110)</f>
        <v/>
      </c>
      <c r="K110" t="inlineStr">
        <is>
          <t>SI</t>
        </is>
      </c>
    </row>
    <row r="111" ht="25.5" customHeight="1" s="33">
      <c r="A111" s="15" t="inlineStr">
        <is>
          <t>Capacidad para ser Auditado</t>
        </is>
      </c>
      <c r="B111" s="16" t="inlineStr">
        <is>
          <t>¿Se necesita registrar también quién consultó o exportó la información, y no solo quién la modificó?</t>
        </is>
      </c>
      <c r="C111" s="17" t="inlineStr">
        <is>
          <t>SI</t>
        </is>
      </c>
      <c r="D111" s="18" t="inlineStr">
        <is>
          <t>SI</t>
        </is>
      </c>
      <c r="E111" s="18" t="inlineStr">
        <is>
          <t>NO</t>
        </is>
      </c>
      <c r="F111" s="19" t="n"/>
      <c r="J111">
        <f>SUM(G111:I111)</f>
        <v/>
      </c>
    </row>
    <row r="112" ht="25.5" customHeight="1" s="33">
      <c r="A112" s="15" t="inlineStr">
        <is>
          <t>Capacidad para ser Auditado</t>
        </is>
      </c>
      <c r="B112" s="16" t="inlineStr">
        <is>
          <t>¿Se necesita que el registro de lo ocurrido no pueda ser alterado ni borrado por nadie?</t>
        </is>
      </c>
      <c r="C112" s="17" t="inlineStr">
        <is>
          <t>SI</t>
        </is>
      </c>
      <c r="D112" s="20" t="inlineStr">
        <is>
          <t>SI</t>
        </is>
      </c>
      <c r="E112" s="20" t="inlineStr">
        <is>
          <t>SI</t>
        </is>
      </c>
      <c r="F112" s="21" t="n"/>
      <c r="I112" t="n">
        <v>2</v>
      </c>
      <c r="J112">
        <f>SUM(G112:I112)</f>
        <v/>
      </c>
      <c r="K112" t="inlineStr">
        <is>
          <t>SI</t>
        </is>
      </c>
    </row>
    <row r="113">
      <c r="A113" s="15" t="inlineStr">
        <is>
          <t>Capacidad para ser Auditado</t>
        </is>
      </c>
      <c r="B113" s="16" t="inlineStr">
        <is>
          <t>¿Se necesita poder exportar ese registro para entregarlo a un tercero?</t>
        </is>
      </c>
      <c r="C113" s="17" t="inlineStr">
        <is>
          <t>SI</t>
        </is>
      </c>
      <c r="D113" s="18" t="inlineStr">
        <is>
          <t>SI</t>
        </is>
      </c>
      <c r="E113" s="18" t="inlineStr">
        <is>
          <t>NO</t>
        </is>
      </c>
      <c r="F113" s="19" t="n"/>
      <c r="J113">
        <f>SUM(G113:I113)</f>
        <v/>
      </c>
    </row>
    <row r="114">
      <c r="A114" s="15" t="inlineStr">
        <is>
          <t>Capacidad para ser Auditado</t>
        </is>
      </c>
      <c r="B114" s="16" t="inlineStr">
        <is>
          <t>¿Se necesita conservar la trazabilidad durante al menos cinco años?</t>
        </is>
      </c>
      <c r="C114" s="17" t="inlineStr">
        <is>
          <t>NO</t>
        </is>
      </c>
      <c r="D114" s="18" t="inlineStr">
        <is>
          <t>NO</t>
        </is>
      </c>
      <c r="E114" s="18" t="inlineStr">
        <is>
          <t>NO</t>
        </is>
      </c>
      <c r="F114" s="19" t="n"/>
      <c r="J114">
        <f>SUM(G114:I114)</f>
        <v/>
      </c>
    </row>
    <row r="115">
      <c r="A115" s="15" t="inlineStr">
        <is>
          <t>Capacidad para ser Auditado</t>
        </is>
      </c>
      <c r="B115" s="16" t="inlineStr">
        <is>
          <t>¿Se necesita conservar la trazabilidad de manera indefinida?</t>
        </is>
      </c>
      <c r="C115" s="17" t="inlineStr">
        <is>
          <t>NO</t>
        </is>
      </c>
      <c r="D115" s="18" t="inlineStr">
        <is>
          <t>NO</t>
        </is>
      </c>
      <c r="E115" s="18" t="inlineStr">
        <is>
          <t>SI</t>
        </is>
      </c>
      <c r="F115" s="19" t="n"/>
      <c r="J115">
        <f>SUM(G115:I115)</f>
        <v/>
      </c>
    </row>
    <row r="116" ht="25.5" customHeight="1" s="33">
      <c r="A116" s="15" t="inlineStr">
        <is>
          <t>Capacidad para ser Auditado</t>
        </is>
      </c>
      <c r="B116" s="16" t="inlineStr">
        <is>
          <t>¿Se necesita registrar el motivo cada vez que disminuye la cantidad de plantas o de tallos esperados?</t>
        </is>
      </c>
      <c r="C116" s="17" t="inlineStr">
        <is>
          <t>SI</t>
        </is>
      </c>
      <c r="D116" s="20" t="inlineStr">
        <is>
          <t>SI</t>
        </is>
      </c>
      <c r="E116" s="20" t="inlineStr">
        <is>
          <t>SI</t>
        </is>
      </c>
      <c r="F116" s="21" t="n"/>
      <c r="H116" t="n">
        <v>1</v>
      </c>
      <c r="J116">
        <f>SUM(G116:I116)</f>
        <v/>
      </c>
      <c r="K116" t="inlineStr">
        <is>
          <t>SI</t>
        </is>
      </c>
    </row>
    <row r="117" ht="25.5" customHeight="1" s="33">
      <c r="A117" s="15" t="inlineStr">
        <is>
          <t>Capacidad para ser Auditado</t>
        </is>
      </c>
      <c r="B117" s="16" t="inlineStr">
        <is>
          <t>¿Se necesita poder demostrar ante una auditoría externa el origen de cualquier cifra del sistema?</t>
        </is>
      </c>
      <c r="C117" s="17" t="inlineStr">
        <is>
          <t>NO</t>
        </is>
      </c>
      <c r="D117" s="18" t="inlineStr">
        <is>
          <t>NO</t>
        </is>
      </c>
      <c r="E117" s="18" t="inlineStr">
        <is>
          <t>SI</t>
        </is>
      </c>
      <c r="F117" s="19" t="n"/>
      <c r="J117">
        <f>SUM(G117:I117)</f>
        <v/>
      </c>
    </row>
    <row r="118" ht="38.25" customHeight="1" s="33">
      <c r="A118" s="15" t="inlineStr">
        <is>
          <t>Capacidad para ser Auditado</t>
        </is>
      </c>
      <c r="B118" s="16" t="inlineStr">
        <is>
          <t>¿Se necesita responder auditorías de certificación (por ejemplo Florverde, Rainforest Alliance o GLOBALG.A.P.) con información sacada del sistema?</t>
        </is>
      </c>
      <c r="C118" s="17" t="inlineStr">
        <is>
          <t>NO</t>
        </is>
      </c>
      <c r="D118" s="18" t="inlineStr">
        <is>
          <t>NO</t>
        </is>
      </c>
      <c r="E118" s="18" t="inlineStr">
        <is>
          <t>SI</t>
        </is>
      </c>
      <c r="F118" s="19" t="n"/>
      <c r="J118">
        <f>SUM(G118:I118)</f>
        <v/>
      </c>
    </row>
    <row r="119" ht="25.5" customHeight="1" s="33">
      <c r="A119" s="15" t="inlineStr">
        <is>
          <t>Capacidad para ser Auditado</t>
        </is>
      </c>
      <c r="B119" s="16" t="inlineStr">
        <is>
          <t>¿Se necesita conservar dentro del sistema la evidencia de las labores aplicadas a un cultivo que exige la autoridad fitosanitaria?</t>
        </is>
      </c>
      <c r="C119" s="17" t="inlineStr">
        <is>
          <t>NO</t>
        </is>
      </c>
      <c r="D119" s="18" t="inlineStr">
        <is>
          <t>NO</t>
        </is>
      </c>
      <c r="E119" s="18" t="inlineStr">
        <is>
          <t>SI</t>
        </is>
      </c>
      <c r="F119" s="19" t="n"/>
      <c r="J119">
        <f>SUM(G119:I119)</f>
        <v/>
      </c>
    </row>
    <row r="120" ht="25.5" customHeight="1" s="33">
      <c r="A120" s="15" t="inlineStr">
        <is>
          <t>Capacidad para ser Auditado</t>
        </is>
      </c>
      <c r="B120" s="16" t="inlineStr">
        <is>
          <t>¿Se necesita poder entregar a un comprador la historia completa del lote que adquirió?</t>
        </is>
      </c>
      <c r="C120" s="17" t="inlineStr">
        <is>
          <t>NO</t>
        </is>
      </c>
      <c r="D120" s="18" t="inlineStr">
        <is>
          <t>NO</t>
        </is>
      </c>
      <c r="E120" s="18" t="inlineStr">
        <is>
          <t>NO</t>
        </is>
      </c>
      <c r="F120" s="19" t="n"/>
      <c r="J120">
        <f>SUM(G120:I120)</f>
        <v/>
      </c>
    </row>
    <row r="121" ht="25.5" customHeight="1" s="33">
      <c r="A121" s="15" t="inlineStr">
        <is>
          <t>Capacidad para ser Auditado</t>
        </is>
      </c>
      <c r="B121" s="16" t="inlineStr">
        <is>
          <t>¿Se necesita que un auditor externo pueda consultar el sistema directamente, sin poder modificar nada?</t>
        </is>
      </c>
      <c r="C121" s="17" t="inlineStr">
        <is>
          <t>NO</t>
        </is>
      </c>
      <c r="D121" s="18" t="inlineStr">
        <is>
          <t>NO</t>
        </is>
      </c>
      <c r="E121" s="18" t="inlineStr">
        <is>
          <t>NO</t>
        </is>
      </c>
      <c r="F121" s="19" t="n"/>
      <c r="J121">
        <f>SUM(G121:I121)</f>
        <v/>
      </c>
    </row>
    <row r="122" ht="25.5" customHeight="1" s="33">
      <c r="A122" s="15" t="inlineStr">
        <is>
          <t>Capacidad para ser Auditado</t>
        </is>
      </c>
      <c r="B122" s="16" t="inlineStr">
        <is>
          <t>¿Se necesita que ese acceso de consulta externa tenga fecha de vencimiento automática?</t>
        </is>
      </c>
      <c r="C122" s="17" t="inlineStr">
        <is>
          <t>NO</t>
        </is>
      </c>
      <c r="D122" s="18" t="inlineStr">
        <is>
          <t>NO</t>
        </is>
      </c>
      <c r="E122" s="18" t="inlineStr">
        <is>
          <t>NO</t>
        </is>
      </c>
      <c r="F122" s="19" t="n"/>
      <c r="J122">
        <f>SUM(G122:I122)</f>
        <v/>
      </c>
    </row>
    <row r="123" ht="25.5" customHeight="1" s="33">
      <c r="A123" s="15" t="inlineStr">
        <is>
          <t>Capacidad para ser Auditado</t>
        </is>
      </c>
      <c r="B123" s="16" t="inlineStr">
        <is>
          <t>¿Se necesita generar el informe para una auditoría desde el propio sistema, sin ayuda técnica?</t>
        </is>
      </c>
      <c r="C123" s="17" t="inlineStr">
        <is>
          <t>SI</t>
        </is>
      </c>
      <c r="D123" s="20" t="inlineStr">
        <is>
          <t>SI</t>
        </is>
      </c>
      <c r="E123" s="20" t="inlineStr">
        <is>
          <t>SI</t>
        </is>
      </c>
      <c r="F123" s="21" t="n"/>
      <c r="J123">
        <f>SUM(G123:I123)</f>
        <v/>
      </c>
    </row>
    <row r="124" ht="25.5" customHeight="1" s="33">
      <c r="A124" s="15" t="inlineStr">
        <is>
          <t>Capacidad para ser Auditado</t>
        </is>
      </c>
      <c r="B124" s="16" t="inlineStr">
        <is>
          <t>¿Se necesita poder demostrar que la información no fue alterada después de haberse cerrado el periodo?</t>
        </is>
      </c>
      <c r="C124" s="17" t="inlineStr">
        <is>
          <t>NO</t>
        </is>
      </c>
      <c r="D124" s="18" t="inlineStr">
        <is>
          <t>NO</t>
        </is>
      </c>
      <c r="E124" s="18" t="inlineStr">
        <is>
          <t>SI</t>
        </is>
      </c>
      <c r="F124" s="19" t="n"/>
      <c r="J124">
        <f>SUM(G124:I124)</f>
        <v/>
      </c>
    </row>
    <row r="125" ht="25.5" customHeight="1" s="33">
      <c r="A125" s="15" t="inlineStr">
        <is>
          <t>Capacidad para ser Auditado</t>
        </is>
      </c>
      <c r="B125" s="16" t="inlineStr">
        <is>
          <t>¿Se necesita que quede constancia de quién ha visto la información que está protegida como secreto empresarial?</t>
        </is>
      </c>
      <c r="C125" s="17" t="inlineStr">
        <is>
          <t>SI</t>
        </is>
      </c>
      <c r="D125" s="18" t="inlineStr">
        <is>
          <t>SI</t>
        </is>
      </c>
      <c r="E125" s="18" t="inlineStr">
        <is>
          <t>NO</t>
        </is>
      </c>
      <c r="F125" s="19" t="n"/>
      <c r="J125">
        <f>SUM(G125:I125)</f>
        <v/>
      </c>
    </row>
    <row r="126" ht="25.5" customHeight="1" s="33">
      <c r="A126" s="15" t="inlineStr">
        <is>
          <t>Capacidad para ser Auditado</t>
        </is>
      </c>
      <c r="B126" s="16" t="inlineStr">
        <is>
          <t>¿Se necesita conservar la información durante un periodo mínimo exigido por norma, aunque ya no se use en la operación?</t>
        </is>
      </c>
      <c r="C126" s="17" t="inlineStr">
        <is>
          <t>NO</t>
        </is>
      </c>
      <c r="D126" s="18" t="inlineStr">
        <is>
          <t>SI</t>
        </is>
      </c>
      <c r="E126" s="18" t="inlineStr">
        <is>
          <t>NO</t>
        </is>
      </c>
      <c r="F126" s="19" t="inlineStr">
        <is>
          <t>DE POR VIDA</t>
        </is>
      </c>
      <c r="J126">
        <f>SUM(G126:I126)</f>
        <v/>
      </c>
    </row>
    <row r="127" ht="25.5" customHeight="1" s="33">
      <c r="A127" s="15" t="inlineStr">
        <is>
          <t>Capacidad para ser Auditado</t>
        </is>
      </c>
      <c r="B127" s="16" t="inlineStr">
        <is>
          <t>¿Se necesita que exista un momento en que la información se deba eliminar por obligación normativa?</t>
        </is>
      </c>
      <c r="C127" s="17" t="inlineStr">
        <is>
          <t>SI</t>
        </is>
      </c>
      <c r="D127" s="18" t="inlineStr">
        <is>
          <t>SI</t>
        </is>
      </c>
      <c r="E127" s="18" t="inlineStr">
        <is>
          <t>NO</t>
        </is>
      </c>
      <c r="F127" s="19" t="n"/>
      <c r="J127">
        <f>SUM(G127:I127)</f>
        <v/>
      </c>
    </row>
    <row r="128" ht="25.5" customHeight="1" s="33">
      <c r="A128" s="15" t="inlineStr">
        <is>
          <t>Capacidad para ser Auditado</t>
        </is>
      </c>
      <c r="B128" s="16" t="inlineStr">
        <is>
          <t>¿Se necesita que los datos personales de quienes capturan reciban un tratamiento distinto al de los datos de producción?</t>
        </is>
      </c>
      <c r="C128" s="17" t="inlineStr">
        <is>
          <t>SI</t>
        </is>
      </c>
      <c r="D128" s="18" t="inlineStr">
        <is>
          <t>SI</t>
        </is>
      </c>
      <c r="E128" s="18" t="inlineStr">
        <is>
          <t>NO</t>
        </is>
      </c>
      <c r="F128" s="19" t="n"/>
      <c r="J128">
        <f>SUM(G128:I128)</f>
        <v/>
      </c>
    </row>
    <row r="129" ht="25.5" customHeight="1" s="33">
      <c r="A129" s="15" t="inlineStr">
        <is>
          <t>Capacidad para ser Auditado</t>
        </is>
      </c>
      <c r="B129" s="16" t="inlineStr">
        <is>
          <t>¿Se necesita registrar quién aprobó una proyección antes de que se comunique fuera del área?</t>
        </is>
      </c>
      <c r="C129" s="17" t="inlineStr">
        <is>
          <t>SI</t>
        </is>
      </c>
      <c r="D129" s="18" t="inlineStr">
        <is>
          <t>SI</t>
        </is>
      </c>
      <c r="E129" s="18" t="inlineStr">
        <is>
          <t>NO</t>
        </is>
      </c>
      <c r="F129" s="19" t="n"/>
      <c r="J129">
        <f>SUM(G129:I129)</f>
        <v/>
      </c>
    </row>
    <row r="130" ht="25.5" customHeight="1" s="33">
      <c r="A130" s="15" t="inlineStr">
        <is>
          <t>Capacidad para ser Auditado</t>
        </is>
      </c>
      <c r="B130" s="16" t="inlineStr">
        <is>
          <t>¿Se necesita que las revisiones de calidad de la información queden registradas como evidencia, y no solo su resultado?</t>
        </is>
      </c>
      <c r="C130" s="17" t="inlineStr">
        <is>
          <t>NO</t>
        </is>
      </c>
      <c r="D130" s="18" t="inlineStr">
        <is>
          <t>NO</t>
        </is>
      </c>
      <c r="E130" s="18" t="inlineStr">
        <is>
          <t>NO</t>
        </is>
      </c>
      <c r="F130" s="19" t="n"/>
      <c r="J130">
        <f>SUM(G130:I130)</f>
        <v/>
      </c>
    </row>
    <row r="131" ht="25.5" customHeight="1" s="33">
      <c r="A131" s="15" t="inlineStr">
        <is>
          <t>Capacidad para ser Auditado</t>
        </is>
      </c>
      <c r="B131" s="16" t="inlineStr">
        <is>
          <t>¿Se necesita poder demostrar con información del propio sistema el cumplimiento de un compromiso adquirido con un tercero?</t>
        </is>
      </c>
      <c r="C131" s="17" t="inlineStr">
        <is>
          <t>NO</t>
        </is>
      </c>
      <c r="D131" s="18" t="inlineStr">
        <is>
          <t>NO</t>
        </is>
      </c>
      <c r="E131" s="18" t="inlineStr">
        <is>
          <t>SI</t>
        </is>
      </c>
      <c r="F131" s="19" t="n"/>
      <c r="J131">
        <f>SUM(G131:I131)</f>
        <v/>
      </c>
    </row>
    <row r="132" ht="25.5" customHeight="1" s="33">
      <c r="A132" s="15" t="inlineStr">
        <is>
          <t>Capacidad</t>
        </is>
      </c>
      <c r="B132" s="16" t="inlineStr">
        <is>
          <t>¿Se necesita que el sistema soporte toda la información de una finca completa?</t>
        </is>
      </c>
      <c r="C132" s="17" t="inlineStr">
        <is>
          <t>NO</t>
        </is>
      </c>
      <c r="D132" s="18" t="inlineStr">
        <is>
          <t>NO</t>
        </is>
      </c>
      <c r="E132" s="18" t="inlineStr">
        <is>
          <t>SI</t>
        </is>
      </c>
      <c r="F132" s="19" t="n"/>
      <c r="J132">
        <f>SUM(G132:I132)</f>
        <v/>
      </c>
    </row>
    <row r="133" ht="25.5" customHeight="1" s="33">
      <c r="A133" s="15" t="inlineStr">
        <is>
          <t>Capacidad</t>
        </is>
      </c>
      <c r="B133" s="16" t="inlineStr">
        <is>
          <t>¿Se necesita que el sistema soporte varias fincas de la misma empresa?</t>
        </is>
      </c>
      <c r="C133" s="17" t="inlineStr">
        <is>
          <t>SI</t>
        </is>
      </c>
      <c r="D133" s="20" t="inlineStr">
        <is>
          <t>SI</t>
        </is>
      </c>
      <c r="E133" s="20" t="inlineStr">
        <is>
          <t>SI</t>
        </is>
      </c>
      <c r="F133" s="21" t="n"/>
      <c r="H133" t="n">
        <v>1</v>
      </c>
      <c r="J133">
        <f>SUM(G133:I133)</f>
        <v/>
      </c>
      <c r="K133" t="inlineStr">
        <is>
          <t>SI</t>
        </is>
      </c>
    </row>
    <row r="134" ht="25.5" customHeight="1" s="33">
      <c r="A134" s="15" t="inlineStr">
        <is>
          <t>Capacidad</t>
        </is>
      </c>
      <c r="B134" s="16" t="inlineStr">
        <is>
          <t>¿Se necesita que el sistema soporte varias empresas distintas al mismo tiempo?</t>
        </is>
      </c>
      <c r="C134" s="17" t="inlineStr">
        <is>
          <t>SI</t>
        </is>
      </c>
      <c r="D134" s="18" t="inlineStr">
        <is>
          <t>SI</t>
        </is>
      </c>
      <c r="E134" s="18" t="inlineStr">
        <is>
          <t>SI</t>
        </is>
      </c>
      <c r="F134" s="19" t="n"/>
      <c r="J134">
        <f>SUM(G134:I134)</f>
        <v/>
      </c>
    </row>
    <row r="135" ht="28.5" customHeight="1" s="33">
      <c r="A135" s="15" t="inlineStr">
        <is>
          <t>Capacidad</t>
        </is>
      </c>
      <c r="B135" s="16" t="inlineStr">
        <is>
          <t>¿Se necesita conservar en línea la información del último año?</t>
        </is>
      </c>
      <c r="C135" s="17" t="inlineStr">
        <is>
          <t>SI</t>
        </is>
      </c>
      <c r="D135" s="18" t="inlineStr">
        <is>
          <t>SI</t>
        </is>
      </c>
      <c r="E135" s="18" t="inlineStr">
        <is>
          <t>SI</t>
        </is>
      </c>
      <c r="F135" s="19" t="inlineStr">
        <is>
          <t>O DE OTROS AÑOS</t>
        </is>
      </c>
      <c r="J135">
        <f>SUM(G135:I135)</f>
        <v/>
      </c>
    </row>
    <row r="136" ht="25.5" customHeight="1" s="33">
      <c r="A136" s="15" t="inlineStr">
        <is>
          <t>Capacidad</t>
        </is>
      </c>
      <c r="B136" s="16" t="inlineStr">
        <is>
          <t>¿Se necesita conservar en línea la información de los últimos cinco años?</t>
        </is>
      </c>
      <c r="C136" s="17" t="inlineStr">
        <is>
          <t>SI</t>
        </is>
      </c>
      <c r="D136" s="20" t="inlineStr">
        <is>
          <t>SI</t>
        </is>
      </c>
      <c r="E136" s="20" t="inlineStr">
        <is>
          <t>SI</t>
        </is>
      </c>
      <c r="F136" s="21" t="n"/>
      <c r="H136" t="n">
        <v>2</v>
      </c>
      <c r="J136">
        <f>SUM(G136:I136)</f>
        <v/>
      </c>
      <c r="K136" t="inlineStr">
        <is>
          <t>SI</t>
        </is>
      </c>
    </row>
    <row r="137" ht="25.5" customHeight="1" s="33">
      <c r="A137" s="15" t="inlineStr">
        <is>
          <t>Capacidad</t>
        </is>
      </c>
      <c r="B137" s="16" t="inlineStr">
        <is>
          <t>¿Se necesita conservar en línea toda la información desde el primer día, sin límite de tiempo?</t>
        </is>
      </c>
      <c r="C137" s="17" t="inlineStr">
        <is>
          <t>NO</t>
        </is>
      </c>
      <c r="D137" s="18" t="inlineStr">
        <is>
          <t>NO</t>
        </is>
      </c>
      <c r="E137" s="18" t="inlineStr">
        <is>
          <t>SI</t>
        </is>
      </c>
      <c r="F137" s="19" t="n"/>
      <c r="J137">
        <f>SUM(G137:I137)</f>
        <v/>
      </c>
    </row>
    <row r="138" ht="25.5" customHeight="1" s="33">
      <c r="A138" s="15" t="inlineStr">
        <is>
          <t>Capacidad</t>
        </is>
      </c>
      <c r="B138" s="16" t="inlineStr">
        <is>
          <t>¿Se necesita que la información antigua siga estando disponible con la misma rapidez que la reciente?</t>
        </is>
      </c>
      <c r="C138" s="17" t="inlineStr">
        <is>
          <t>NO</t>
        </is>
      </c>
      <c r="D138" s="18" t="inlineStr">
        <is>
          <t>NO</t>
        </is>
      </c>
      <c r="E138" s="18" t="inlineStr">
        <is>
          <t>SI</t>
        </is>
      </c>
      <c r="F138" s="19" t="n"/>
      <c r="J138">
        <f>SUM(G138:I138)</f>
        <v/>
      </c>
    </row>
    <row r="139" ht="25.5" customHeight="1" s="33">
      <c r="A139" s="15" t="inlineStr">
        <is>
          <t>Capacidad</t>
        </is>
      </c>
      <c r="B139" s="16" t="inlineStr">
        <is>
          <t>¿Se aceptaría que la información de más de cierta antigüedad tarde más en consultarse?</t>
        </is>
      </c>
      <c r="C139" s="17" t="inlineStr">
        <is>
          <t>SI</t>
        </is>
      </c>
      <c r="D139" s="18" t="inlineStr">
        <is>
          <t>SI</t>
        </is>
      </c>
      <c r="E139" s="18" t="inlineStr">
        <is>
          <t>SI</t>
        </is>
      </c>
      <c r="F139" s="19" t="n"/>
      <c r="H139" t="n">
        <v>2</v>
      </c>
      <c r="J139">
        <f>SUM(G139:I139)</f>
        <v/>
      </c>
      <c r="K139" t="inlineStr">
        <is>
          <t>SI</t>
        </is>
      </c>
    </row>
    <row r="140" ht="25.5" customHeight="1" s="33">
      <c r="A140" s="15" t="inlineStr">
        <is>
          <t>Capacidad</t>
        </is>
      </c>
      <c r="B140" s="16" t="inlineStr">
        <is>
          <t>¿Se necesita almacenar fotografías tomadas en campo junto con los datos?</t>
        </is>
      </c>
      <c r="C140" s="17" t="inlineStr">
        <is>
          <t>SI</t>
        </is>
      </c>
      <c r="D140" s="18" t="inlineStr">
        <is>
          <t>SI</t>
        </is>
      </c>
      <c r="E140" s="18" t="inlineStr">
        <is>
          <t>NO</t>
        </is>
      </c>
      <c r="F140" s="19" t="n"/>
      <c r="J140">
        <f>SUM(G140:I140)</f>
        <v/>
      </c>
    </row>
    <row r="141" ht="25.5" customHeight="1" s="33">
      <c r="A141" s="15" t="inlineStr">
        <is>
          <t>Capacidad</t>
        </is>
      </c>
      <c r="B141" s="16" t="inlineStr">
        <is>
          <t>¿Se necesita almacenar documentos o formatos escaneados asociados a una cama o a un lote?</t>
        </is>
      </c>
      <c r="C141" s="17" t="inlineStr">
        <is>
          <t>SI</t>
        </is>
      </c>
      <c r="D141" s="18" t="inlineStr">
        <is>
          <t>SI</t>
        </is>
      </c>
      <c r="E141" s="18" t="inlineStr">
        <is>
          <t>NO</t>
        </is>
      </c>
      <c r="F141" s="19" t="n"/>
      <c r="J141">
        <f>SUM(G141:I141)</f>
        <v/>
      </c>
    </row>
    <row r="142" ht="25.5" customHeight="1" s="33">
      <c r="A142" s="15" t="inlineStr">
        <is>
          <t>Capacidad</t>
        </is>
      </c>
      <c r="B142" s="16" t="inlineStr">
        <is>
          <t>¿Se necesita conservar a la vez la copia sin modificar y la copia corregida de cada dato?</t>
        </is>
      </c>
      <c r="C142" s="17" t="inlineStr">
        <is>
          <t>NO</t>
        </is>
      </c>
      <c r="D142" s="18" t="inlineStr">
        <is>
          <t>NO</t>
        </is>
      </c>
      <c r="E142" s="18" t="inlineStr">
        <is>
          <t>NO</t>
        </is>
      </c>
      <c r="F142" s="19" t="n"/>
      <c r="J142">
        <f>SUM(G142:I142)</f>
        <v/>
      </c>
    </row>
    <row r="143" ht="25.5" customHeight="1" s="33">
      <c r="A143" s="15" t="inlineStr">
        <is>
          <t>Capacidad</t>
        </is>
      </c>
      <c r="B143" s="16" t="inlineStr">
        <is>
          <t>¿Se necesita que el dispositivo pueda guardar la información de varios días sin sincronizar sin quedarse sin espacio?</t>
        </is>
      </c>
      <c r="C143" s="17" t="inlineStr">
        <is>
          <t>SI</t>
        </is>
      </c>
      <c r="D143" s="20" t="inlineStr">
        <is>
          <t>SI</t>
        </is>
      </c>
      <c r="E143" s="20" t="inlineStr">
        <is>
          <t>SI</t>
        </is>
      </c>
      <c r="F143" s="21" t="n"/>
      <c r="J143">
        <f>SUM(G143:I143)</f>
        <v/>
      </c>
    </row>
    <row r="144" ht="25.5" customHeight="1" s="33">
      <c r="A144" s="15" t="inlineStr">
        <is>
          <t>Capacidad</t>
        </is>
      </c>
      <c r="B144" s="16" t="inlineStr">
        <is>
          <t>¿Se necesita que el dispositivo tenga descargado todo el catálogo de la finca antes de salir a capturar?</t>
        </is>
      </c>
      <c r="C144" s="17" t="inlineStr">
        <is>
          <t>SI</t>
        </is>
      </c>
      <c r="D144" s="18" t="inlineStr">
        <is>
          <t>SI</t>
        </is>
      </c>
      <c r="E144" s="18" t="inlineStr">
        <is>
          <t>SI</t>
        </is>
      </c>
      <c r="F144" s="19" t="n"/>
      <c r="I144" t="n">
        <v>1</v>
      </c>
      <c r="J144">
        <f>SUM(G144:I144)</f>
        <v/>
      </c>
      <c r="K144" t="inlineStr">
        <is>
          <t>SI</t>
        </is>
      </c>
    </row>
    <row r="145" ht="25.5" customHeight="1" s="33">
      <c r="A145" s="15" t="inlineStr">
        <is>
          <t>Capacidad</t>
        </is>
      </c>
      <c r="B145" s="16" t="inlineStr">
        <is>
          <t>¿Se necesita prever un crecimiento del volumen de información año tras año sin cambiar de sistema?</t>
        </is>
      </c>
      <c r="C145" s="17" t="inlineStr">
        <is>
          <t>SI</t>
        </is>
      </c>
      <c r="D145" s="20" t="inlineStr">
        <is>
          <t>SI</t>
        </is>
      </c>
      <c r="E145" s="20" t="inlineStr">
        <is>
          <t>SI</t>
        </is>
      </c>
      <c r="F145" s="21" t="n"/>
      <c r="H145" t="n">
        <v>3</v>
      </c>
      <c r="J145">
        <f>SUM(G145:I145)</f>
        <v/>
      </c>
      <c r="K145" t="inlineStr">
        <is>
          <t>SI</t>
        </is>
      </c>
    </row>
    <row r="146" ht="25.5" customHeight="1" s="33">
      <c r="A146" s="15" t="inlineStr">
        <is>
          <t>Capacidad</t>
        </is>
      </c>
      <c r="B146" s="16" t="inlineStr">
        <is>
          <t>¿Se necesita que el costo de almacenamiento por finca se mantenga acotado a medida que crece la historia?</t>
        </is>
      </c>
      <c r="C146" s="17" t="inlineStr">
        <is>
          <t>SI</t>
        </is>
      </c>
      <c r="D146" s="20" t="inlineStr">
        <is>
          <t>SI</t>
        </is>
      </c>
      <c r="E146" s="20" t="inlineStr">
        <is>
          <t>SI</t>
        </is>
      </c>
      <c r="F146" s="21" t="n"/>
      <c r="H146" t="n">
        <v>1</v>
      </c>
      <c r="I146" t="n">
        <v>1</v>
      </c>
      <c r="J146">
        <f>SUM(G146:I146)</f>
        <v/>
      </c>
      <c r="K146" t="inlineStr">
        <is>
          <t>SI</t>
        </is>
      </c>
    </row>
    <row r="147" ht="25.5" customHeight="1" s="33">
      <c r="A147" s="15" t="inlineStr">
        <is>
          <t>Capacidad para ser Administrado</t>
        </is>
      </c>
      <c r="B147" s="16" t="inlineStr">
        <is>
          <t>¿Se necesita poder crear y dar de baja usuarios sin solicitarlo a quien desarrolló el sistema?</t>
        </is>
      </c>
      <c r="C147" s="17" t="inlineStr">
        <is>
          <t>SI</t>
        </is>
      </c>
      <c r="D147" s="20" t="inlineStr">
        <is>
          <t>SI</t>
        </is>
      </c>
      <c r="E147" s="20" t="inlineStr">
        <is>
          <t>SI</t>
        </is>
      </c>
      <c r="F147" s="21" t="n"/>
      <c r="I147" t="n">
        <v>4</v>
      </c>
      <c r="J147">
        <f>SUM(G147:I147)</f>
        <v/>
      </c>
      <c r="K147" t="inlineStr">
        <is>
          <t>SI</t>
        </is>
      </c>
    </row>
    <row r="148" ht="25.5" customHeight="1" s="33">
      <c r="A148" s="15" t="inlineStr">
        <is>
          <t>Capacidad para ser Administrado</t>
        </is>
      </c>
      <c r="B148" s="16" t="inlineStr">
        <is>
          <t>¿Se necesita poder cambiar los permisos de un usuario de manera inmediata?</t>
        </is>
      </c>
      <c r="C148" s="17" t="inlineStr">
        <is>
          <t>SI</t>
        </is>
      </c>
      <c r="D148" s="20" t="inlineStr">
        <is>
          <t>SI</t>
        </is>
      </c>
      <c r="E148" s="20" t="inlineStr">
        <is>
          <t>SI</t>
        </is>
      </c>
      <c r="F148" s="21" t="n"/>
      <c r="I148" t="n">
        <v>3</v>
      </c>
      <c r="J148">
        <f>SUM(G148:I148)</f>
        <v/>
      </c>
      <c r="K148" t="inlineStr">
        <is>
          <t>SI</t>
        </is>
      </c>
    </row>
    <row r="149" ht="25.5" customHeight="1" s="33">
      <c r="A149" s="15" t="inlineStr">
        <is>
          <t>Capacidad para ser Administrado</t>
        </is>
      </c>
      <c r="B149" s="16" t="inlineStr">
        <is>
          <t>¿Se necesita poder retirar el acceso de un usuario el mismo día en que deja de trabajar en la finca?</t>
        </is>
      </c>
      <c r="C149" s="17" t="inlineStr">
        <is>
          <t>SI</t>
        </is>
      </c>
      <c r="D149" s="18" t="inlineStr">
        <is>
          <t>SI</t>
        </is>
      </c>
      <c r="E149" s="18" t="inlineStr">
        <is>
          <t>SI</t>
        </is>
      </c>
      <c r="F149" s="19" t="n"/>
      <c r="J149">
        <f>SUM(G149:I149)</f>
        <v/>
      </c>
    </row>
    <row r="150" ht="25.5" customHeight="1" s="33">
      <c r="A150" s="15" t="inlineStr">
        <is>
          <t>Capacidad para ser Administrado</t>
        </is>
      </c>
      <c r="B150" s="16" t="inlineStr">
        <is>
          <t>¿Se necesita poder crear bloques, camas y secciones nuevas sin desarrollo adicional?</t>
        </is>
      </c>
      <c r="C150" s="17" t="inlineStr">
        <is>
          <t>SI</t>
        </is>
      </c>
      <c r="D150" s="18" t="inlineStr">
        <is>
          <t>SI</t>
        </is>
      </c>
      <c r="E150" s="18" t="inlineStr">
        <is>
          <t>SI</t>
        </is>
      </c>
      <c r="F150" s="19" t="n"/>
      <c r="I150" t="n">
        <v>1</v>
      </c>
      <c r="J150">
        <f>SUM(G150:I150)</f>
        <v/>
      </c>
      <c r="K150" t="inlineStr">
        <is>
          <t>NO</t>
        </is>
      </c>
    </row>
    <row r="151">
      <c r="A151" s="15" t="inlineStr">
        <is>
          <t>Capacidad para ser Administrado</t>
        </is>
      </c>
      <c r="B151" s="16" t="inlineStr">
        <is>
          <t>¿Se necesita poder crear variedades nuevas sin desarrollo adicional?</t>
        </is>
      </c>
      <c r="C151" s="17" t="inlineStr">
        <is>
          <t>SI</t>
        </is>
      </c>
      <c r="D151" s="18" t="inlineStr">
        <is>
          <t>SI</t>
        </is>
      </c>
      <c r="E151" s="18" t="inlineStr">
        <is>
          <t>SI</t>
        </is>
      </c>
      <c r="F151" s="19" t="n"/>
      <c r="H151" t="n">
        <v>3</v>
      </c>
      <c r="J151">
        <f>SUM(G151:I151)</f>
        <v/>
      </c>
      <c r="K151" t="inlineStr">
        <is>
          <t>SI</t>
        </is>
      </c>
    </row>
    <row r="152" ht="25.5" customHeight="1" s="33">
      <c r="A152" s="15" t="inlineStr">
        <is>
          <t>Capacidad para ser Administrado</t>
        </is>
      </c>
      <c r="B152" s="16" t="inlineStr">
        <is>
          <t>¿Se necesita poder cambiar los grados de calidad y sus definiciones sin desarrollo adicional?</t>
        </is>
      </c>
      <c r="C152" s="17" t="inlineStr">
        <is>
          <t>SI</t>
        </is>
      </c>
      <c r="D152" s="18" t="inlineStr">
        <is>
          <t>SI</t>
        </is>
      </c>
      <c r="E152" s="18" t="inlineStr">
        <is>
          <t>SI</t>
        </is>
      </c>
      <c r="F152" s="19" t="n"/>
      <c r="H152" t="n">
        <v>2</v>
      </c>
      <c r="J152">
        <f>SUM(G152:I152)</f>
        <v/>
      </c>
      <c r="K152" t="inlineStr">
        <is>
          <t>SI</t>
        </is>
      </c>
    </row>
    <row r="153" ht="25.5" customHeight="1" s="33">
      <c r="A153" s="15" t="inlineStr">
        <is>
          <t>Capacidad para ser Administrado</t>
        </is>
      </c>
      <c r="B153" s="16" t="inlineStr">
        <is>
          <t>¿Se necesita poder cambiar la densidad de siembra o los parámetros de cálculo sin desarrollo adicional?</t>
        </is>
      </c>
      <c r="C153" s="17" t="inlineStr">
        <is>
          <t>SI</t>
        </is>
      </c>
      <c r="D153" s="20" t="inlineStr">
        <is>
          <t>SI</t>
        </is>
      </c>
      <c r="E153" s="20" t="inlineStr">
        <is>
          <t>SI</t>
        </is>
      </c>
      <c r="F153" s="21" t="n"/>
      <c r="H153" t="n">
        <v>3</v>
      </c>
      <c r="J153">
        <f>SUM(G153:I153)</f>
        <v/>
      </c>
      <c r="K153" t="inlineStr">
        <is>
          <t>SI</t>
        </is>
      </c>
    </row>
    <row r="154" ht="25.5" customHeight="1" s="33">
      <c r="A154" s="15" t="inlineStr">
        <is>
          <t>Capacidad para ser Administrado</t>
        </is>
      </c>
      <c r="B154" s="16" t="inlineStr">
        <is>
          <t>¿Se necesita que un cambio de parámetros no altere las proyecciones ya emitidas?</t>
        </is>
      </c>
      <c r="C154" s="17" t="inlineStr">
        <is>
          <t>SI</t>
        </is>
      </c>
      <c r="D154" s="20" t="inlineStr">
        <is>
          <t>SI</t>
        </is>
      </c>
      <c r="E154" s="20" t="inlineStr">
        <is>
          <t>SI</t>
        </is>
      </c>
      <c r="F154" s="21" t="n"/>
      <c r="H154" t="n">
        <v>2</v>
      </c>
      <c r="J154">
        <f>SUM(G154:I154)</f>
        <v/>
      </c>
      <c r="K154" t="inlineStr">
        <is>
          <t>SI</t>
        </is>
      </c>
    </row>
    <row r="155" ht="25.5" customHeight="1" s="33">
      <c r="A155" s="15" t="inlineStr">
        <is>
          <t>Capacidad para ser Administrado</t>
        </is>
      </c>
      <c r="B155" s="16" t="inlineStr">
        <is>
          <t>¿Se necesita ver en una sola pantalla qué dispositivos tienen información pendiente de sincronizar?</t>
        </is>
      </c>
      <c r="C155" s="17" t="inlineStr">
        <is>
          <t>SI</t>
        </is>
      </c>
      <c r="D155" s="18" t="inlineStr">
        <is>
          <t>SI</t>
        </is>
      </c>
      <c r="E155" s="18" t="inlineStr">
        <is>
          <t>NO</t>
        </is>
      </c>
      <c r="F155" s="19" t="n"/>
      <c r="J155">
        <f>SUM(G155:I155)</f>
        <v/>
      </c>
    </row>
    <row r="156" ht="25.5" customHeight="1" s="33">
      <c r="A156" s="15" t="inlineStr">
        <is>
          <t>Capacidad para ser Administrado</t>
        </is>
      </c>
      <c r="B156" s="16" t="inlineStr">
        <is>
          <t>¿Se necesita ver en una sola pantalla el avance de captura del día por bloque?</t>
        </is>
      </c>
      <c r="C156" s="17" t="inlineStr">
        <is>
          <t>SI</t>
        </is>
      </c>
      <c r="D156" s="18" t="inlineStr">
        <is>
          <t>SI</t>
        </is>
      </c>
      <c r="E156" s="18" t="inlineStr">
        <is>
          <t>NO</t>
        </is>
      </c>
      <c r="F156" s="19" t="n"/>
      <c r="J156">
        <f>SUM(G156:I156)</f>
        <v/>
      </c>
    </row>
    <row r="157" ht="25.5" customHeight="1" s="33">
      <c r="A157" s="15" t="inlineStr">
        <is>
          <t>Capacidad para ser Administrado</t>
        </is>
      </c>
      <c r="B157" s="16" t="inlineStr">
        <is>
          <t>¿Se necesita poder forzar la sincronización de un dispositivo de manera remota?</t>
        </is>
      </c>
      <c r="C157" s="17" t="inlineStr">
        <is>
          <t>SI</t>
        </is>
      </c>
      <c r="D157" s="20" t="inlineStr">
        <is>
          <t>SI</t>
        </is>
      </c>
      <c r="E157" s="20" t="inlineStr">
        <is>
          <t>SI</t>
        </is>
      </c>
      <c r="F157" s="21" t="n"/>
      <c r="I157" t="n">
        <v>2</v>
      </c>
      <c r="J157">
        <f>SUM(G157:I157)</f>
        <v/>
      </c>
      <c r="K157" t="inlineStr">
        <is>
          <t>SI</t>
        </is>
      </c>
    </row>
    <row r="158" ht="25.5" customHeight="1" s="33">
      <c r="A158" s="15" t="inlineStr">
        <is>
          <t>Capacidad para ser Administrado</t>
        </is>
      </c>
      <c r="B158" s="16" t="inlineStr">
        <is>
          <t>¿Se necesita poder actualizar la aplicación en todos los dispositivos sin recogerlos uno por uno?</t>
        </is>
      </c>
      <c r="C158" s="17" t="inlineStr">
        <is>
          <t>SI</t>
        </is>
      </c>
      <c r="D158" s="20" t="inlineStr">
        <is>
          <t>SI</t>
        </is>
      </c>
      <c r="E158" s="20" t="inlineStr">
        <is>
          <t>SI</t>
        </is>
      </c>
      <c r="F158" s="21" t="n"/>
      <c r="I158" t="n">
        <v>3</v>
      </c>
      <c r="J158">
        <f>SUM(G158:I158)</f>
        <v/>
      </c>
      <c r="K158" t="inlineStr">
        <is>
          <t>SI</t>
        </is>
      </c>
    </row>
    <row r="159" ht="25.5" customHeight="1" s="33">
      <c r="A159" s="15" t="inlineStr">
        <is>
          <t>Capacidad para ser Administrado</t>
        </is>
      </c>
      <c r="B159" s="16" t="inlineStr">
        <is>
          <t>¿Se necesita que una actualización nunca obligue a suspender la captura del día?</t>
        </is>
      </c>
      <c r="C159" s="17" t="inlineStr">
        <is>
          <t>SI</t>
        </is>
      </c>
      <c r="D159" s="18" t="inlineStr">
        <is>
          <t>SI</t>
        </is>
      </c>
      <c r="E159" s="18" t="inlineStr">
        <is>
          <t>NO</t>
        </is>
      </c>
      <c r="F159" s="19" t="n"/>
      <c r="I159" t="n">
        <v>1</v>
      </c>
      <c r="J159">
        <f>SUM(G159:I159)</f>
        <v/>
      </c>
      <c r="K159" t="inlineStr">
        <is>
          <t>NO</t>
        </is>
      </c>
    </row>
    <row r="160" ht="28.5" customHeight="1" s="33">
      <c r="A160" s="15" t="inlineStr">
        <is>
          <t>Capacidad para ser Administrado</t>
        </is>
      </c>
      <c r="B160" s="16" t="inlineStr">
        <is>
          <t>¿Se necesita poder configurar con anticipación las fechas de temporada alta y baja, y los días festivos o no laborables de la finca?</t>
        </is>
      </c>
      <c r="C160" s="17" t="inlineStr">
        <is>
          <t>NO</t>
        </is>
      </c>
      <c r="D160" s="18" t="inlineStr">
        <is>
          <t>NO</t>
        </is>
      </c>
      <c r="E160" s="18" t="inlineStr">
        <is>
          <t>NO</t>
        </is>
      </c>
      <c r="F160" s="19" t="inlineStr">
        <is>
          <t>* NO SE ENTIENDE</t>
        </is>
      </c>
      <c r="J160">
        <f>SUM(G160:I160)</f>
        <v/>
      </c>
    </row>
    <row r="161" ht="25.5" customHeight="1" s="33">
      <c r="A161" s="15" t="inlineStr">
        <is>
          <t>Capacidad para ser Administrado</t>
        </is>
      </c>
      <c r="B161" s="16" t="inlineStr">
        <is>
          <t>¿Se necesita que la administración del sistema se pueda hacer desde un computador de la finca, sin herramientas técnicas especiales?</t>
        </is>
      </c>
      <c r="C161" s="17" t="inlineStr">
        <is>
          <t>SI</t>
        </is>
      </c>
      <c r="D161" s="20" t="inlineStr">
        <is>
          <t>SI</t>
        </is>
      </c>
      <c r="E161" s="20" t="inlineStr">
        <is>
          <t>SI</t>
        </is>
      </c>
      <c r="F161" s="21" t="n"/>
      <c r="I161" t="n">
        <v>4</v>
      </c>
      <c r="J161">
        <f>SUM(G161:I161)</f>
        <v/>
      </c>
      <c r="K161" t="inlineStr">
        <is>
          <t>SI</t>
        </is>
      </c>
    </row>
    <row r="162" ht="25.5" customHeight="1" s="33">
      <c r="A162" s="15" t="inlineStr">
        <is>
          <t>Capacidad para ser Administrado</t>
        </is>
      </c>
      <c r="B162" s="16" t="inlineStr">
        <is>
          <t>¿Se necesita que quien administra el sistema en la finca no pueda modificar la información de producción?</t>
        </is>
      </c>
      <c r="C162" s="17" t="inlineStr">
        <is>
          <t>SI</t>
        </is>
      </c>
      <c r="D162" s="20" t="inlineStr">
        <is>
          <t>SI</t>
        </is>
      </c>
      <c r="E162" s="20" t="inlineStr">
        <is>
          <t>SI</t>
        </is>
      </c>
      <c r="F162" s="21" t="n"/>
      <c r="I162" t="n">
        <v>5</v>
      </c>
      <c r="J162">
        <f>SUM(G162:I162)</f>
        <v/>
      </c>
      <c r="K162" t="inlineStr">
        <is>
          <t>SI</t>
        </is>
      </c>
    </row>
    <row r="163">
      <c r="A163" s="15" t="inlineStr">
        <is>
          <t>Experiencia de Usuario</t>
        </is>
      </c>
      <c r="B163" s="16" t="inlineStr">
        <is>
          <t>¿Se necesita que la captura se pueda completar con una sola mano?</t>
        </is>
      </c>
      <c r="C163" s="17" t="inlineStr">
        <is>
          <t>SI</t>
        </is>
      </c>
      <c r="D163" s="18" t="inlineStr">
        <is>
          <t>SI</t>
        </is>
      </c>
      <c r="E163" s="18" t="inlineStr">
        <is>
          <t>NO</t>
        </is>
      </c>
      <c r="F163" s="19" t="n"/>
      <c r="J163">
        <f>SUM(G163:I163)</f>
        <v/>
      </c>
    </row>
    <row r="164">
      <c r="A164" s="15" t="inlineStr">
        <is>
          <t>Experiencia de Usuario</t>
        </is>
      </c>
      <c r="B164" s="16" t="inlineStr">
        <is>
          <t>¿Se necesita que la captura se pueda hacer con guantes puestos?</t>
        </is>
      </c>
      <c r="C164" s="17" t="inlineStr">
        <is>
          <t>SI</t>
        </is>
      </c>
      <c r="D164" s="18" t="inlineStr">
        <is>
          <t>NO</t>
        </is>
      </c>
      <c r="E164" s="18" t="inlineStr">
        <is>
          <t>NO</t>
        </is>
      </c>
      <c r="F164" s="19" t="n"/>
      <c r="J164">
        <f>SUM(G164:I164)</f>
        <v/>
      </c>
    </row>
    <row r="165">
      <c r="A165" s="15" t="inlineStr">
        <is>
          <t>Experiencia de Usuario</t>
        </is>
      </c>
      <c r="B165" s="16" t="inlineStr">
        <is>
          <t>¿Se necesita que la pantalla sea legible bajo el sol directo?</t>
        </is>
      </c>
      <c r="C165" s="17" t="inlineStr">
        <is>
          <t>SI</t>
        </is>
      </c>
      <c r="D165" s="20" t="inlineStr">
        <is>
          <t>SI</t>
        </is>
      </c>
      <c r="E165" s="20" t="inlineStr">
        <is>
          <t>SI</t>
        </is>
      </c>
      <c r="F165" s="21" t="n"/>
      <c r="G165" t="n">
        <v>4</v>
      </c>
      <c r="J165">
        <f>SUM(G165:I165)</f>
        <v/>
      </c>
      <c r="K165" t="inlineStr">
        <is>
          <t>SI</t>
        </is>
      </c>
    </row>
    <row r="166" ht="25.5" customHeight="1" s="33">
      <c r="A166" s="15" t="inlineStr">
        <is>
          <t>Experiencia de Usuario</t>
        </is>
      </c>
      <c r="B166" s="16" t="inlineStr">
        <is>
          <t>¿Se necesita que la mayoría de los datos se capturen escogiendo de una lista y no escribiendo?</t>
        </is>
      </c>
      <c r="C166" s="17" t="inlineStr">
        <is>
          <t>NO</t>
        </is>
      </c>
      <c r="D166" s="18" t="inlineStr">
        <is>
          <t>NO</t>
        </is>
      </c>
      <c r="E166" s="18" t="inlineStr">
        <is>
          <t>SI</t>
        </is>
      </c>
      <c r="F166" s="19" t="n"/>
      <c r="G166" t="n">
        <v>1</v>
      </c>
      <c r="J166">
        <f>SUM(G166:I166)</f>
        <v/>
      </c>
      <c r="K166" t="inlineStr">
        <is>
          <t>NO</t>
        </is>
      </c>
    </row>
    <row r="167" ht="25.5" customHeight="1" s="33">
      <c r="A167" s="15" t="inlineStr">
        <is>
          <t>Experiencia de Usuario</t>
        </is>
      </c>
      <c r="B167" s="16" t="inlineStr">
        <is>
          <t>¿Se necesita reducir al mínimo la cantidad de toques necesarios para registrar una cama?</t>
        </is>
      </c>
      <c r="C167" s="17" t="inlineStr">
        <is>
          <t>SI</t>
        </is>
      </c>
      <c r="D167" s="20" t="inlineStr">
        <is>
          <t>SI</t>
        </is>
      </c>
      <c r="E167" s="20" t="inlineStr">
        <is>
          <t>SI</t>
        </is>
      </c>
      <c r="F167" s="21" t="n"/>
      <c r="G167" t="n">
        <v>3</v>
      </c>
      <c r="J167">
        <f>SUM(G167:I167)</f>
        <v/>
      </c>
      <c r="K167" t="inlineStr">
        <is>
          <t>SI</t>
        </is>
      </c>
    </row>
    <row r="168" ht="25.5" customHeight="1" s="33">
      <c r="A168" s="15" t="inlineStr">
        <is>
          <t>Experiencia de Usuario</t>
        </is>
      </c>
      <c r="B168" s="16" t="inlineStr">
        <is>
          <t>¿Se necesita poder deshacer el último dato registrado sin salir de la pantalla?</t>
        </is>
      </c>
      <c r="C168" s="17" t="inlineStr">
        <is>
          <t>SI</t>
        </is>
      </c>
      <c r="D168" s="20" t="inlineStr">
        <is>
          <t>SI</t>
        </is>
      </c>
      <c r="E168" s="20" t="inlineStr">
        <is>
          <t>SI</t>
        </is>
      </c>
      <c r="F168" s="21" t="n"/>
      <c r="G168" t="n">
        <v>1</v>
      </c>
      <c r="J168">
        <f>SUM(G168:I168)</f>
        <v/>
      </c>
      <c r="K168" t="inlineStr">
        <is>
          <t>NO</t>
        </is>
      </c>
    </row>
    <row r="169" ht="25.5" customHeight="1" s="33">
      <c r="A169" s="15" t="inlineStr">
        <is>
          <t>Experiencia de Usuario</t>
        </is>
      </c>
      <c r="B169" s="16" t="inlineStr">
        <is>
          <t>¿Se necesita ver en todo momento cuánto se lleva capturado y cuánto falta de la jornada?</t>
        </is>
      </c>
      <c r="C169" s="17" t="inlineStr">
        <is>
          <t>SI</t>
        </is>
      </c>
      <c r="D169" s="18" t="inlineStr">
        <is>
          <t>NO</t>
        </is>
      </c>
      <c r="E169" s="18" t="inlineStr">
        <is>
          <t>NO</t>
        </is>
      </c>
      <c r="F169" s="19" t="n"/>
      <c r="J169">
        <f>SUM(G169:I169)</f>
        <v/>
      </c>
    </row>
    <row r="170" ht="25.5" customHeight="1" s="33">
      <c r="A170" s="15" t="inlineStr">
        <is>
          <t>Experiencia de Usuario</t>
        </is>
      </c>
      <c r="B170" s="16" t="inlineStr">
        <is>
          <t>¿Se necesita que la aplicación indique con claridad qué información ya se sincronizó y cuál no?</t>
        </is>
      </c>
      <c r="C170" s="17" t="inlineStr">
        <is>
          <t>SI</t>
        </is>
      </c>
      <c r="D170" s="18" t="inlineStr">
        <is>
          <t>SI</t>
        </is>
      </c>
      <c r="E170" s="18" t="inlineStr">
        <is>
          <t>SI</t>
        </is>
      </c>
      <c r="F170" s="19" t="n"/>
      <c r="G170" t="n">
        <v>2</v>
      </c>
      <c r="J170">
        <f>SUM(G170:I170)</f>
        <v/>
      </c>
      <c r="K170" t="inlineStr">
        <is>
          <t>SI</t>
        </is>
      </c>
    </row>
    <row r="171" ht="25.5" customHeight="1" s="33">
      <c r="A171" s="15" t="inlineStr">
        <is>
          <t>Experiencia de Usuario</t>
        </is>
      </c>
      <c r="B171" s="16" t="inlineStr">
        <is>
          <t>¿Se necesita que los nombres que aparecen en pantalla sean exactamente los que se usan hablando en la finca?</t>
        </is>
      </c>
      <c r="C171" s="17" t="inlineStr">
        <is>
          <t>SI</t>
        </is>
      </c>
      <c r="D171" s="20" t="inlineStr">
        <is>
          <t>SI</t>
        </is>
      </c>
      <c r="E171" s="20" t="inlineStr">
        <is>
          <t>SI</t>
        </is>
      </c>
      <c r="F171" s="21" t="n"/>
      <c r="G171" t="n">
        <v>2</v>
      </c>
      <c r="J171">
        <f>SUM(G171:I171)</f>
        <v/>
      </c>
      <c r="K171" t="inlineStr">
        <is>
          <t>SI</t>
        </is>
      </c>
    </row>
    <row r="172" ht="25.5" customHeight="1" s="33">
      <c r="A172" s="15" t="inlineStr">
        <is>
          <t>Experiencia de Usuario</t>
        </is>
      </c>
      <c r="B172" s="16" t="inlineStr">
        <is>
          <t>¿Se necesita que la aplicación se pueda usar sin capacitación formal previa?</t>
        </is>
      </c>
      <c r="C172" s="17" t="inlineStr">
        <is>
          <t>SI</t>
        </is>
      </c>
      <c r="D172" s="18" t="inlineStr">
        <is>
          <t>SI</t>
        </is>
      </c>
      <c r="E172" s="18" t="inlineStr">
        <is>
          <t>NO</t>
        </is>
      </c>
      <c r="F172" s="19" t="n"/>
      <c r="G172" t="n">
        <v>1</v>
      </c>
      <c r="J172">
        <f>SUM(G172:I172)</f>
        <v/>
      </c>
      <c r="K172" t="inlineStr">
        <is>
          <t>NO</t>
        </is>
      </c>
    </row>
    <row r="173" ht="25.5" customHeight="1" s="33">
      <c r="A173" s="15" t="inlineStr">
        <is>
          <t>Experiencia de Usuario</t>
        </is>
      </c>
      <c r="B173" s="16" t="inlineStr">
        <is>
          <t>¿Se necesita que una persona nueva pueda capturar correctamente su primera cama en menos de diez minutos de acompañamiento?</t>
        </is>
      </c>
      <c r="C173" s="17" t="inlineStr">
        <is>
          <t>SI</t>
        </is>
      </c>
      <c r="D173" s="18" t="inlineStr">
        <is>
          <t>SI</t>
        </is>
      </c>
      <c r="E173" s="18" t="inlineStr">
        <is>
          <t>NO</t>
        </is>
      </c>
      <c r="F173" s="19" t="n"/>
      <c r="J173">
        <f>SUM(G173:I173)</f>
        <v/>
      </c>
    </row>
    <row r="174" ht="25.5" customHeight="1" s="33">
      <c r="A174" s="15" t="inlineStr">
        <is>
          <t>Experiencia de Usuario</t>
        </is>
      </c>
      <c r="B174" s="16" t="inlineStr">
        <is>
          <t>¿Se necesita poder identificar la cama escaneando una marca física en lugar de escribir el código?</t>
        </is>
      </c>
      <c r="C174" s="17" t="inlineStr">
        <is>
          <t>SI</t>
        </is>
      </c>
      <c r="D174" s="20" t="inlineStr">
        <is>
          <t>SI</t>
        </is>
      </c>
      <c r="E174" s="20" t="inlineStr">
        <is>
          <t>SI</t>
        </is>
      </c>
      <c r="F174" s="21" t="n"/>
      <c r="G174" t="n">
        <v>3</v>
      </c>
      <c r="J174">
        <f>SUM(G174:I174)</f>
        <v/>
      </c>
      <c r="K174" t="inlineStr">
        <is>
          <t>SI</t>
        </is>
      </c>
    </row>
    <row r="175">
      <c r="A175" s="15" t="inlineStr">
        <is>
          <t>Experiencia de Usuario</t>
        </is>
      </c>
      <c r="B175" s="16" t="inlineStr">
        <is>
          <t>¿Se necesita poder capturar dictando por voz en lugar de escribiendo?</t>
        </is>
      </c>
      <c r="C175" s="17" t="inlineStr">
        <is>
          <t>SI</t>
        </is>
      </c>
      <c r="D175" s="18" t="inlineStr">
        <is>
          <t>NO</t>
        </is>
      </c>
      <c r="E175" s="18" t="inlineStr">
        <is>
          <t>NO</t>
        </is>
      </c>
      <c r="F175" s="19" t="n"/>
      <c r="J175">
        <f>SUM(G175:I175)</f>
        <v/>
      </c>
    </row>
    <row r="176" ht="25.5" customHeight="1" s="33">
      <c r="A176" s="15" t="inlineStr">
        <is>
          <t>Experiencia de Usuario</t>
        </is>
      </c>
      <c r="B176" s="16" t="inlineStr">
        <is>
          <t>¿Se necesita que el sistema sugiera valores mientras se captura, siempre que la sugerencia se pueda rechazar?</t>
        </is>
      </c>
      <c r="C176" s="17" t="inlineStr">
        <is>
          <t>SI</t>
        </is>
      </c>
      <c r="D176" s="18" t="inlineStr">
        <is>
          <t>SI</t>
        </is>
      </c>
      <c r="E176" s="18" t="inlineStr">
        <is>
          <t>NO</t>
        </is>
      </c>
      <c r="F176" s="19" t="n"/>
      <c r="J176">
        <f>SUM(G176:I176)</f>
        <v/>
      </c>
    </row>
    <row r="177" ht="25.5" customHeight="1" s="33">
      <c r="A177" s="15" t="inlineStr">
        <is>
          <t>Experiencia de Usuario</t>
        </is>
      </c>
      <c r="B177" s="16" t="inlineStr">
        <is>
          <t>¿Se necesita que la consulta de resultados se pueda hacer desde un celular y no solo desde un computador?</t>
        </is>
      </c>
      <c r="C177" s="17" t="inlineStr">
        <is>
          <t>SI</t>
        </is>
      </c>
      <c r="D177" s="20" t="inlineStr">
        <is>
          <t>SI</t>
        </is>
      </c>
      <c r="E177" s="20" t="inlineStr">
        <is>
          <t>NO</t>
        </is>
      </c>
      <c r="F177" s="21" t="n"/>
      <c r="J177">
        <f>SUM(G177:I177)</f>
        <v/>
      </c>
    </row>
    <row r="178" ht="25.5" customHeight="1" s="33">
      <c r="A178" s="15" t="inlineStr">
        <is>
          <t>Experiencia de Usuario</t>
        </is>
      </c>
      <c r="B178" s="16" t="inlineStr">
        <is>
          <t>¿Se necesita que cada quien pueda armar su propia vista de consulta sin pedirla a nadie?</t>
        </is>
      </c>
      <c r="C178" s="17" t="inlineStr">
        <is>
          <t>NO</t>
        </is>
      </c>
      <c r="D178" s="18" t="inlineStr">
        <is>
          <t>NO</t>
        </is>
      </c>
      <c r="E178" s="18" t="inlineStr">
        <is>
          <t>NO</t>
        </is>
      </c>
      <c r="F178" s="19" t="inlineStr">
        <is>
          <t>*</t>
        </is>
      </c>
      <c r="J178">
        <f>SUM(G178:I178)</f>
        <v/>
      </c>
    </row>
    <row r="179" ht="25.5" customHeight="1" s="33">
      <c r="A179" s="15" t="inlineStr">
        <is>
          <t>Experiencia de Usuario</t>
        </is>
      </c>
      <c r="B179" s="16" t="inlineStr">
        <is>
          <t>¿Se necesita ver el estado de las camas sobre una representación gráfica del bloque y no solo en una lista?</t>
        </is>
      </c>
      <c r="C179" s="17" t="inlineStr">
        <is>
          <t>SI</t>
        </is>
      </c>
      <c r="D179" s="18" t="inlineStr">
        <is>
          <t>SI</t>
        </is>
      </c>
      <c r="E179" s="18" t="inlineStr">
        <is>
          <t>NO</t>
        </is>
      </c>
      <c r="F179" s="19" t="n"/>
      <c r="J179">
        <f>SUM(G179:I179)</f>
        <v/>
      </c>
    </row>
    <row r="180" ht="25.5" customHeight="1" s="33">
      <c r="A180" s="15" t="inlineStr">
        <is>
          <t>Experiencia de Usuario</t>
        </is>
      </c>
      <c r="B180" s="16" t="inlineStr">
        <is>
          <t>¿Se necesita que los mensajes de error expliquen qué hacer y no solo qué salió mal?</t>
        </is>
      </c>
      <c r="C180" s="17" t="inlineStr">
        <is>
          <t>SI</t>
        </is>
      </c>
      <c r="D180" s="20" t="inlineStr">
        <is>
          <t>SI</t>
        </is>
      </c>
      <c r="E180" s="20" t="inlineStr">
        <is>
          <t>SI</t>
        </is>
      </c>
      <c r="F180" s="21" t="inlineStr">
        <is>
          <t>OPCIONAL</t>
        </is>
      </c>
      <c r="J180">
        <f>SUM(G180:I180)</f>
        <v/>
      </c>
    </row>
    <row r="181" ht="25.5" customHeight="1" s="33">
      <c r="A181" s="15" t="inlineStr">
        <is>
          <t>Seguridad</t>
        </is>
      </c>
      <c r="B181" s="16" t="inlineStr">
        <is>
          <t>¿Se necesita que cada persona entre al sistema con una identificación propia y no compartida?</t>
        </is>
      </c>
      <c r="C181" s="17" t="inlineStr">
        <is>
          <t>SI</t>
        </is>
      </c>
      <c r="D181" s="18" t="inlineStr">
        <is>
          <t>SI</t>
        </is>
      </c>
      <c r="E181" s="18" t="inlineStr">
        <is>
          <t>SI</t>
        </is>
      </c>
      <c r="F181" s="19" t="n"/>
      <c r="I181" t="n">
        <v>2</v>
      </c>
      <c r="J181">
        <f>SUM(G181:I181)</f>
        <v/>
      </c>
      <c r="K181" t="inlineStr">
        <is>
          <t>SI</t>
        </is>
      </c>
    </row>
    <row r="182" ht="25.5" customHeight="1" s="33">
      <c r="A182" s="15" t="inlineStr">
        <is>
          <t>Seguridad</t>
        </is>
      </c>
      <c r="B182" s="16" t="inlineStr">
        <is>
          <t>¿Se necesita poder entrar a la aplicación de captura estando sin conexión?</t>
        </is>
      </c>
      <c r="C182" s="17" t="inlineStr">
        <is>
          <t>SI</t>
        </is>
      </c>
      <c r="D182" s="18" t="inlineStr">
        <is>
          <t>SI</t>
        </is>
      </c>
      <c r="E182" s="18" t="inlineStr">
        <is>
          <t>SI</t>
        </is>
      </c>
      <c r="F182" s="19" t="n"/>
      <c r="J182">
        <f>SUM(G182:I182)</f>
        <v/>
      </c>
    </row>
    <row r="183" ht="25.5" customHeight="1" s="33">
      <c r="A183" s="15" t="inlineStr">
        <is>
          <t>Seguridad</t>
        </is>
      </c>
      <c r="B183" s="16" t="inlineStr">
        <is>
          <t>¿Se necesita que la sesión se cierre sola después de un tiempo sin uso?</t>
        </is>
      </c>
      <c r="C183" s="17" t="inlineStr">
        <is>
          <t>SI</t>
        </is>
      </c>
      <c r="D183" s="18" t="inlineStr">
        <is>
          <t>SI</t>
        </is>
      </c>
      <c r="E183" s="18" t="inlineStr">
        <is>
          <t>SI</t>
        </is>
      </c>
      <c r="F183" s="19" t="n"/>
      <c r="I183" t="n">
        <v>3</v>
      </c>
      <c r="J183">
        <f>SUM(G183:I183)</f>
        <v/>
      </c>
      <c r="K183" t="inlineStr">
        <is>
          <t>SI</t>
        </is>
      </c>
    </row>
    <row r="184" ht="25.5" customHeight="1" s="33">
      <c r="A184" s="15" t="inlineStr">
        <is>
          <t>Seguridad</t>
        </is>
      </c>
      <c r="B184" s="16" t="inlineStr">
        <is>
          <t>¿Se necesita que la información guardada en el dispositivo quede ilegible si el dispositivo se pierde o lo roban?</t>
        </is>
      </c>
      <c r="C184" s="17" t="inlineStr">
        <is>
          <t>SI</t>
        </is>
      </c>
      <c r="D184" s="18" t="inlineStr">
        <is>
          <t>SI</t>
        </is>
      </c>
      <c r="E184" s="18" t="inlineStr">
        <is>
          <t>NO</t>
        </is>
      </c>
      <c r="F184" s="19" t="n"/>
      <c r="J184">
        <f>SUM(G184:I184)</f>
        <v/>
      </c>
    </row>
    <row r="185" ht="25.5" customHeight="1" s="33">
      <c r="A185" s="15" t="inlineStr">
        <is>
          <t>Seguridad</t>
        </is>
      </c>
      <c r="B185" s="16" t="inlineStr">
        <is>
          <t>¿Se necesita poder borrar de manera remota la información de un dispositivo perdido?</t>
        </is>
      </c>
      <c r="C185" s="17" t="inlineStr">
        <is>
          <t>NO</t>
        </is>
      </c>
      <c r="D185" s="18" t="inlineStr">
        <is>
          <t>NO</t>
        </is>
      </c>
      <c r="E185" s="18" t="inlineStr">
        <is>
          <t>SI</t>
        </is>
      </c>
      <c r="F185" s="19" t="inlineStr">
        <is>
          <t>OPCIONAL</t>
        </is>
      </c>
      <c r="J185">
        <f>SUM(G185:I185)</f>
        <v/>
      </c>
    </row>
    <row r="186" ht="25.5" customHeight="1" s="33">
      <c r="A186" s="15" t="inlineStr">
        <is>
          <t>Seguridad</t>
        </is>
      </c>
      <c r="B186" s="16" t="inlineStr">
        <is>
          <t>¿Se necesita que la información de una empresa nunca pueda ser vista desde otra empresa, bajo ninguna circunstancia?</t>
        </is>
      </c>
      <c r="C186" s="17" t="inlineStr">
        <is>
          <t>SI</t>
        </is>
      </c>
      <c r="D186" s="20" t="inlineStr">
        <is>
          <t>SI</t>
        </is>
      </c>
      <c r="E186" s="20" t="inlineStr">
        <is>
          <t>SI</t>
        </is>
      </c>
      <c r="F186" s="21" t="n"/>
      <c r="H186" t="n">
        <v>1</v>
      </c>
      <c r="J186">
        <f>SUM(G186:I186)</f>
        <v/>
      </c>
      <c r="K186" t="inlineStr">
        <is>
          <t>NO</t>
        </is>
      </c>
    </row>
    <row r="187" ht="25.5" customHeight="1" s="33">
      <c r="A187" s="15" t="inlineStr">
        <is>
          <t>Seguridad</t>
        </is>
      </c>
      <c r="B187" s="16" t="inlineStr">
        <is>
          <t>¿Se necesita poder demostrar documentalmente ese aislamiento ante el cliente?</t>
        </is>
      </c>
      <c r="C187" s="17" t="inlineStr">
        <is>
          <t>SI</t>
        </is>
      </c>
      <c r="D187" s="18" t="inlineStr">
        <is>
          <t>SI</t>
        </is>
      </c>
      <c r="E187" s="18" t="inlineStr">
        <is>
          <t>NO</t>
        </is>
      </c>
      <c r="F187" s="19" t="n"/>
      <c r="J187">
        <f>SUM(G187:I187)</f>
        <v/>
      </c>
    </row>
    <row r="188" ht="25.5" customHeight="1" s="33">
      <c r="A188" s="15" t="inlineStr">
        <is>
          <t>Seguridad</t>
        </is>
      </c>
      <c r="B188" s="16" t="inlineStr">
        <is>
          <t>¿Se necesita que quien opera la plataforma no pueda leer la información de producción de la empresa?</t>
        </is>
      </c>
      <c r="C188" s="17" t="inlineStr">
        <is>
          <t>SI</t>
        </is>
      </c>
      <c r="D188" s="20" t="inlineStr">
        <is>
          <t>SI</t>
        </is>
      </c>
      <c r="E188" s="20" t="inlineStr">
        <is>
          <t>SI</t>
        </is>
      </c>
      <c r="F188" s="21" t="n"/>
      <c r="I188" t="n">
        <v>2</v>
      </c>
      <c r="J188">
        <f>SUM(G188:I188)</f>
        <v/>
      </c>
      <c r="K188" t="inlineStr">
        <is>
          <t>SI</t>
        </is>
      </c>
    </row>
    <row r="189" ht="25.5" customHeight="1" s="33">
      <c r="A189" s="15" t="inlineStr">
        <is>
          <t>Seguridad</t>
        </is>
      </c>
      <c r="B189" s="16" t="inlineStr">
        <is>
          <t>¿Se necesita que todo acceso técnico a la información quede registrado y sea revisable?</t>
        </is>
      </c>
      <c r="C189" s="17" t="inlineStr">
        <is>
          <t>SI</t>
        </is>
      </c>
      <c r="D189" s="18" t="inlineStr">
        <is>
          <t>SI</t>
        </is>
      </c>
      <c r="E189" s="18" t="inlineStr">
        <is>
          <t>NO</t>
        </is>
      </c>
      <c r="F189" s="19" t="n"/>
      <c r="I189" t="n">
        <v>1</v>
      </c>
      <c r="J189">
        <f>SUM(G189:I189)</f>
        <v/>
      </c>
      <c r="K189" t="inlineStr">
        <is>
          <t>NO</t>
        </is>
      </c>
    </row>
    <row r="190" ht="25.5" customHeight="1" s="33">
      <c r="A190" s="15" t="inlineStr">
        <is>
          <t>Seguridad</t>
        </is>
      </c>
      <c r="B190" s="16" t="inlineStr">
        <is>
          <t>¿Se necesita que la información viaje cifrada entre el dispositivo y la nube?</t>
        </is>
      </c>
      <c r="C190" s="17" t="inlineStr">
        <is>
          <t>SI</t>
        </is>
      </c>
      <c r="D190" s="18" t="inlineStr">
        <is>
          <t>SI</t>
        </is>
      </c>
      <c r="E190" s="18" t="inlineStr">
        <is>
          <t>NO</t>
        </is>
      </c>
      <c r="F190" s="19" t="n"/>
      <c r="J190">
        <f>SUM(G190:I190)</f>
        <v/>
      </c>
    </row>
    <row r="191">
      <c r="A191" s="15" t="inlineStr">
        <is>
          <t>Seguridad</t>
        </is>
      </c>
      <c r="B191" s="16" t="inlineStr">
        <is>
          <t>¿Se necesita que las copias de respaldo estén cifradas?</t>
        </is>
      </c>
      <c r="C191" s="17" t="inlineStr">
        <is>
          <t>SI</t>
        </is>
      </c>
      <c r="D191" s="18" t="inlineStr">
        <is>
          <t>SI</t>
        </is>
      </c>
      <c r="E191" s="18" t="inlineStr">
        <is>
          <t>NO</t>
        </is>
      </c>
      <c r="F191" s="19" t="n"/>
      <c r="J191">
        <f>SUM(G191:I191)</f>
        <v/>
      </c>
    </row>
    <row r="192" ht="25.5" customHeight="1" s="33">
      <c r="A192" s="15" t="inlineStr">
        <is>
          <t>Seguridad</t>
        </is>
      </c>
      <c r="B192" s="16" t="inlineStr">
        <is>
          <t>¿Se necesita que la llave para descifrar los respaldos sea distinta para cada empresa?</t>
        </is>
      </c>
      <c r="C192" s="17" t="inlineStr">
        <is>
          <t>SI</t>
        </is>
      </c>
      <c r="D192" s="18" t="inlineStr">
        <is>
          <t>SI</t>
        </is>
      </c>
      <c r="E192" s="18" t="inlineStr">
        <is>
          <t>NO</t>
        </is>
      </c>
      <c r="F192" s="19" t="n"/>
      <c r="J192">
        <f>SUM(G192:I192)</f>
        <v/>
      </c>
    </row>
    <row r="193" ht="25.5" customHeight="1" s="33">
      <c r="A193" s="15" t="inlineStr">
        <is>
          <t>Seguridad</t>
        </is>
      </c>
      <c r="B193" s="16" t="inlineStr">
        <is>
          <t>¿Se necesita restringir quién puede exportar información fuera del sistema?</t>
        </is>
      </c>
      <c r="C193" s="17" t="inlineStr">
        <is>
          <t>SI</t>
        </is>
      </c>
      <c r="D193" s="20" t="inlineStr">
        <is>
          <t>SI</t>
        </is>
      </c>
      <c r="E193" s="20" t="inlineStr">
        <is>
          <t>SI</t>
        </is>
      </c>
      <c r="F193" s="21" t="n"/>
      <c r="J193">
        <f>SUM(G193:I193)</f>
        <v/>
      </c>
    </row>
    <row r="194">
      <c r="A194" s="15" t="inlineStr">
        <is>
          <t>Seguridad</t>
        </is>
      </c>
      <c r="B194" s="16" t="inlineStr">
        <is>
          <t>¿Se necesita que quede registro de cada exportación realizada?</t>
        </is>
      </c>
      <c r="C194" s="17" t="inlineStr">
        <is>
          <t>SI</t>
        </is>
      </c>
      <c r="D194" s="18" t="inlineStr">
        <is>
          <t>SI</t>
        </is>
      </c>
      <c r="E194" s="18" t="inlineStr">
        <is>
          <t>NO</t>
        </is>
      </c>
      <c r="F194" s="19" t="n"/>
      <c r="J194">
        <f>SUM(G194:I194)</f>
        <v/>
      </c>
    </row>
    <row r="195" ht="25.5" customHeight="1" s="33">
      <c r="A195" s="15" t="inlineStr">
        <is>
          <t>Seguridad</t>
        </is>
      </c>
      <c r="B195" s="16" t="inlineStr">
        <is>
          <t>¿Se necesita marcar los archivos exportados para poder identificar su origen si se filtran?</t>
        </is>
      </c>
      <c r="C195" s="17" t="inlineStr">
        <is>
          <t>NO</t>
        </is>
      </c>
      <c r="D195" s="18" t="inlineStr">
        <is>
          <t>NO</t>
        </is>
      </c>
      <c r="E195" s="18" t="inlineStr">
        <is>
          <t>NO</t>
        </is>
      </c>
      <c r="F195" s="19" t="n"/>
      <c r="J195">
        <f>SUM(G195:I195)</f>
        <v/>
      </c>
    </row>
    <row r="196" ht="25.5" customHeight="1" s="33">
      <c r="A196" s="15" t="inlineStr">
        <is>
          <t>Seguridad</t>
        </is>
      </c>
      <c r="B196" s="16" t="inlineStr">
        <is>
          <t>¿Se necesita que el personal temporal tenga un acceso que caduque solo al terminar su contrato?</t>
        </is>
      </c>
      <c r="C196" s="17" t="inlineStr">
        <is>
          <t>NO</t>
        </is>
      </c>
      <c r="D196" s="18" t="inlineStr">
        <is>
          <t>NO</t>
        </is>
      </c>
      <c r="E196" s="18" t="inlineStr">
        <is>
          <t>NO</t>
        </is>
      </c>
      <c r="F196" s="19" t="n"/>
      <c r="J196">
        <f>SUM(G196:I196)</f>
        <v/>
      </c>
    </row>
    <row r="197" ht="25.5" customHeight="1" s="33">
      <c r="A197" s="15" t="inlineStr">
        <is>
          <t>Seguridad</t>
        </is>
      </c>
      <c r="B197" s="16" t="inlineStr">
        <is>
          <t>¿Se necesita que el sistema avise cuando alguien intenta entrar repetidamente sin lograrlo?</t>
        </is>
      </c>
      <c r="C197" s="17" t="inlineStr">
        <is>
          <t>NO</t>
        </is>
      </c>
      <c r="D197" s="18" t="inlineStr">
        <is>
          <t>NO</t>
        </is>
      </c>
      <c r="E197" s="18" t="inlineStr">
        <is>
          <t>NO</t>
        </is>
      </c>
      <c r="F197" s="19" t="n"/>
      <c r="J197">
        <f>SUM(G197:I197)</f>
        <v/>
      </c>
    </row>
    <row r="198" ht="25.5" customHeight="1" s="33">
      <c r="A198" s="15" t="inlineStr">
        <is>
          <t>Seguridad</t>
        </is>
      </c>
      <c r="B198" s="16" t="inlineStr">
        <is>
          <t>¿Se necesita que exista información que no pueda salir del país donde está la finca?</t>
        </is>
      </c>
      <c r="C198" s="17" t="inlineStr">
        <is>
          <t>NO</t>
        </is>
      </c>
      <c r="D198" s="18" t="inlineStr">
        <is>
          <t>NO</t>
        </is>
      </c>
      <c r="E198" s="18" t="inlineStr">
        <is>
          <t>NO</t>
        </is>
      </c>
      <c r="F198" s="19" t="n"/>
      <c r="J198">
        <f>SUM(G198:I198)</f>
        <v/>
      </c>
    </row>
    <row r="199" ht="25.5" customHeight="1" s="33">
      <c r="A199" s="15" t="inlineStr">
        <is>
          <t>Seguridad</t>
        </is>
      </c>
      <c r="B199" s="16" t="inlineStr">
        <is>
          <t>¿Se aceptaría que dentro de una misma empresa toda la información sea visible para todos sus usuarios?</t>
        </is>
      </c>
      <c r="C199" s="17" t="inlineStr">
        <is>
          <t>SI</t>
        </is>
      </c>
      <c r="D199" s="18" t="inlineStr">
        <is>
          <t>SI</t>
        </is>
      </c>
      <c r="E199" s="18" t="inlineStr">
        <is>
          <t>NO</t>
        </is>
      </c>
      <c r="F199" s="19" t="n"/>
      <c r="J199">
        <f>SUM(G199:I199)</f>
        <v/>
      </c>
    </row>
    <row r="200">
      <c r="A200" s="15" t="inlineStr">
        <is>
          <t>Interoperatividad</t>
        </is>
      </c>
      <c r="B200" s="16" t="inlineStr">
        <is>
          <t>¿Se necesita poder exportar la información a Excel?</t>
        </is>
      </c>
      <c r="C200" s="17" t="inlineStr">
        <is>
          <t>SI</t>
        </is>
      </c>
      <c r="D200" s="20" t="inlineStr">
        <is>
          <t>SI</t>
        </is>
      </c>
      <c r="E200" s="20" t="inlineStr">
        <is>
          <t>SI</t>
        </is>
      </c>
      <c r="F200" s="21" t="n"/>
      <c r="H200" t="n">
        <v>2</v>
      </c>
      <c r="J200">
        <f>SUM(G200:I200)</f>
        <v/>
      </c>
      <c r="K200" t="inlineStr">
        <is>
          <t>SI</t>
        </is>
      </c>
    </row>
    <row r="201">
      <c r="A201" s="15" t="inlineStr">
        <is>
          <t>Interoperatividad</t>
        </is>
      </c>
      <c r="B201" s="16" t="inlineStr">
        <is>
          <t>¿Se necesita poder exportar los reportes a PDF?</t>
        </is>
      </c>
      <c r="C201" s="17" t="inlineStr">
        <is>
          <t>SI</t>
        </is>
      </c>
      <c r="D201" s="18" t="inlineStr">
        <is>
          <t>SI</t>
        </is>
      </c>
      <c r="E201" s="18" t="inlineStr">
        <is>
          <t>SI</t>
        </is>
      </c>
      <c r="F201" s="19" t="n"/>
      <c r="H201" t="n">
        <v>1</v>
      </c>
      <c r="J201">
        <f>SUM(G201:I201)</f>
        <v/>
      </c>
      <c r="K201" t="inlineStr">
        <is>
          <t>NO</t>
        </is>
      </c>
    </row>
    <row r="202" ht="25.5" customHeight="1" s="33">
      <c r="A202" s="15" t="inlineStr">
        <is>
          <t>Interoperatividad</t>
        </is>
      </c>
      <c r="B202" s="16" t="inlineStr">
        <is>
          <t>¿Se necesita que la exportación conserve exactamente el formato de los archivos que hoy se comparten?</t>
        </is>
      </c>
      <c r="C202" s="17" t="inlineStr">
        <is>
          <t>SI</t>
        </is>
      </c>
      <c r="D202" s="18" t="inlineStr">
        <is>
          <t>NO</t>
        </is>
      </c>
      <c r="E202" s="18" t="inlineStr">
        <is>
          <t>SI</t>
        </is>
      </c>
      <c r="F202" s="19" t="n"/>
      <c r="J202">
        <f>SUM(G202:I202)</f>
        <v/>
      </c>
    </row>
    <row r="203" ht="25.5" customHeight="1" s="33">
      <c r="A203" s="15" t="inlineStr">
        <is>
          <t>Interoperatividad</t>
        </is>
      </c>
      <c r="B203" s="16" t="inlineStr">
        <is>
          <t>¿Se necesita cargar la información inicial de la finca desde los archivos que ya existen?</t>
        </is>
      </c>
      <c r="C203" s="17" t="inlineStr">
        <is>
          <t>SI</t>
        </is>
      </c>
      <c r="D203" s="18" t="inlineStr">
        <is>
          <t>SI</t>
        </is>
      </c>
      <c r="E203" s="18" t="inlineStr">
        <is>
          <t>SI</t>
        </is>
      </c>
      <c r="F203" s="19" t="n"/>
      <c r="J203">
        <f>SUM(G203:I203)</f>
        <v/>
      </c>
    </row>
    <row r="204" ht="25.5" customHeight="1" s="33">
      <c r="A204" s="15" t="inlineStr">
        <is>
          <t>Interoperatividad</t>
        </is>
      </c>
      <c r="B204" s="16" t="inlineStr">
        <is>
          <t>¿Se necesita que el sistema entregue información al sistema administrativo que la empresa ya tiene?</t>
        </is>
      </c>
      <c r="C204" s="17" t="inlineStr">
        <is>
          <t>SI</t>
        </is>
      </c>
      <c r="D204" s="18" t="inlineStr">
        <is>
          <t>SI</t>
        </is>
      </c>
      <c r="E204" s="18" t="inlineStr">
        <is>
          <t>SI</t>
        </is>
      </c>
      <c r="F204" s="19" t="n"/>
      <c r="J204">
        <f>SUM(G204:I204)</f>
        <v/>
      </c>
    </row>
    <row r="205" ht="25.5" customHeight="1" s="33">
      <c r="A205" s="15" t="inlineStr">
        <is>
          <t>Interoperatividad</t>
        </is>
      </c>
      <c r="B205" s="16" t="inlineStr">
        <is>
          <t>¿Se necesita que el sistema tome información del sistema administrativo que la empresa ya tiene?</t>
        </is>
      </c>
      <c r="C205" s="17" t="inlineStr">
        <is>
          <t>NO</t>
        </is>
      </c>
      <c r="D205" s="18" t="inlineStr">
        <is>
          <t>NO</t>
        </is>
      </c>
      <c r="E205" s="18" t="inlineStr">
        <is>
          <t>SI</t>
        </is>
      </c>
      <c r="F205" s="19" t="n"/>
      <c r="J205">
        <f>SUM(G205:I205)</f>
        <v/>
      </c>
    </row>
    <row r="206" ht="25.5" customHeight="1" s="33">
      <c r="A206" s="15" t="inlineStr">
        <is>
          <t>Interoperatividad</t>
        </is>
      </c>
      <c r="B206" s="16" t="inlineStr">
        <is>
          <t>¿Se necesita que el sistema conviva con la aplicación de plagas sin reemplazarla?</t>
        </is>
      </c>
      <c r="C206" s="17" t="inlineStr">
        <is>
          <t>NO</t>
        </is>
      </c>
      <c r="D206" s="18" t="inlineStr">
        <is>
          <t>NO</t>
        </is>
      </c>
      <c r="E206" s="18" t="inlineStr">
        <is>
          <t>SI</t>
        </is>
      </c>
      <c r="F206" s="19" t="n"/>
      <c r="J206">
        <f>SUM(G206:I206)</f>
        <v/>
      </c>
    </row>
    <row r="207" ht="25.5" customHeight="1" s="33">
      <c r="A207" s="15" t="inlineStr">
        <is>
          <t>Interoperatividad</t>
        </is>
      </c>
      <c r="B207" s="16" t="inlineStr">
        <is>
          <t>¿Se necesita que el sistema consuma la información que produce la aplicación de plagas?</t>
        </is>
      </c>
      <c r="C207" s="17" t="inlineStr">
        <is>
          <t>NO</t>
        </is>
      </c>
      <c r="D207" s="18" t="inlineStr">
        <is>
          <t>NO</t>
        </is>
      </c>
      <c r="E207" s="18" t="inlineStr">
        <is>
          <t>NO</t>
        </is>
      </c>
      <c r="F207" s="19" t="n"/>
      <c r="J207">
        <f>SUM(G207:I207)</f>
        <v/>
      </c>
    </row>
    <row r="208" ht="28.5" customHeight="1" s="33">
      <c r="A208" s="15" t="inlineStr">
        <is>
          <t>Interoperatividad</t>
        </is>
      </c>
      <c r="B208" s="16" t="inlineStr">
        <is>
          <t>¿Se necesita que el sistema entregue información al proceso de nómina o de productividades?</t>
        </is>
      </c>
      <c r="C208" s="17" t="inlineStr">
        <is>
          <t>NO</t>
        </is>
      </c>
      <c r="D208" s="18" t="inlineStr">
        <is>
          <t>NO</t>
        </is>
      </c>
      <c r="E208" s="18" t="inlineStr">
        <is>
          <t>NO</t>
        </is>
      </c>
      <c r="F208" s="19" t="inlineStr">
        <is>
          <t>PRODUCTIVIDADES SI</t>
        </is>
      </c>
      <c r="J208">
        <f>SUM(G208:I208)</f>
        <v/>
      </c>
    </row>
    <row r="209" ht="25.5" customHeight="1" s="33">
      <c r="A209" s="15" t="inlineStr">
        <is>
          <t>Interoperatividad</t>
        </is>
      </c>
      <c r="B209" s="16" t="inlineStr">
        <is>
          <t>¿Se necesita que la información se pueda leer desde una herramienta de análisis externa?</t>
        </is>
      </c>
      <c r="C209" s="17" t="inlineStr">
        <is>
          <t>SI</t>
        </is>
      </c>
      <c r="D209" s="18" t="inlineStr">
        <is>
          <t>SI</t>
        </is>
      </c>
      <c r="E209" s="18" t="inlineStr">
        <is>
          <t>SI</t>
        </is>
      </c>
      <c r="F209" s="19" t="inlineStr">
        <is>
          <t>POWER BI</t>
        </is>
      </c>
      <c r="H209" t="n">
        <v>3</v>
      </c>
      <c r="J209">
        <f>SUM(G209:I209)</f>
        <v/>
      </c>
      <c r="K209" t="inlineStr">
        <is>
          <t>SI</t>
        </is>
      </c>
    </row>
    <row r="210" ht="25.5" customHeight="1" s="33">
      <c r="A210" s="15" t="inlineStr">
        <is>
          <t>Interoperatividad</t>
        </is>
      </c>
      <c r="B210" s="16" t="inlineStr">
        <is>
          <t>¿Se necesita que exista una manera automática de conectar el sistema con otros programas, sin intervención manual?</t>
        </is>
      </c>
      <c r="C210" s="17" t="inlineStr">
        <is>
          <t>SI</t>
        </is>
      </c>
      <c r="D210" s="18" t="inlineStr">
        <is>
          <t>SI</t>
        </is>
      </c>
      <c r="E210" s="18" t="inlineStr">
        <is>
          <t>SI</t>
        </is>
      </c>
      <c r="F210" s="19" t="n"/>
      <c r="J210">
        <f>SUM(G210:I210)</f>
        <v/>
      </c>
    </row>
    <row r="211" ht="25.5" customHeight="1" s="33">
      <c r="A211" s="15" t="inlineStr">
        <is>
          <t>Interoperatividad</t>
        </is>
      </c>
      <c r="B211" s="16" t="inlineStr">
        <is>
          <t>¿Se necesita que la información se pueda entregar a un cliente o a un comercializador externo?</t>
        </is>
      </c>
      <c r="C211" s="17" t="inlineStr">
        <is>
          <t>NO</t>
        </is>
      </c>
      <c r="D211" s="18" t="inlineStr">
        <is>
          <t>NO</t>
        </is>
      </c>
      <c r="E211" s="18" t="inlineStr">
        <is>
          <t>NO</t>
        </is>
      </c>
      <c r="F211" s="19" t="n"/>
      <c r="J211">
        <f>SUM(G211:I211)</f>
        <v/>
      </c>
    </row>
    <row r="212" ht="25.5" customHeight="1" s="33">
      <c r="A212" s="15" t="inlineStr">
        <is>
          <t>Interoperatividad</t>
        </is>
      </c>
      <c r="B212" s="16" t="inlineStr">
        <is>
          <t>¿Se aceptaría que, en la primera entrega, la única forma de intercambio sea la exportación manual a Excel y PDF?</t>
        </is>
      </c>
      <c r="C212" s="17" t="inlineStr">
        <is>
          <t>SI</t>
        </is>
      </c>
      <c r="D212" s="18" t="inlineStr">
        <is>
          <t>SI</t>
        </is>
      </c>
      <c r="E212" s="18" t="inlineStr">
        <is>
          <t>SI</t>
        </is>
      </c>
      <c r="F212" s="19" t="n"/>
      <c r="J212">
        <f>SUM(G212:I212)</f>
        <v/>
      </c>
    </row>
    <row r="213" ht="25.5" customHeight="1" s="33">
      <c r="A213" s="15" t="inlineStr">
        <is>
          <t>Escalabilidad</t>
        </is>
      </c>
      <c r="B213" s="16" t="inlineStr">
        <is>
          <t>¿Se necesita poder agregar bloques y camas nuevas en plena temporada sin interrumpir la operación?</t>
        </is>
      </c>
      <c r="C213" s="17" t="inlineStr">
        <is>
          <t>SI</t>
        </is>
      </c>
      <c r="D213" s="18" t="inlineStr">
        <is>
          <t>SI</t>
        </is>
      </c>
      <c r="E213" s="18" t="inlineStr">
        <is>
          <t>SI</t>
        </is>
      </c>
      <c r="F213" s="19" t="n"/>
      <c r="J213">
        <f>SUM(G213:I213)</f>
        <v/>
      </c>
    </row>
    <row r="214" ht="25.5" customHeight="1" s="33">
      <c r="A214" s="15" t="inlineStr">
        <is>
          <t>Escalabilidad</t>
        </is>
      </c>
      <c r="B214" s="16" t="inlineStr">
        <is>
          <t>¿Se necesita poder duplicar la cantidad de personas que capturan sin que el sistema se vuelva más lento?</t>
        </is>
      </c>
      <c r="C214" s="17" t="inlineStr">
        <is>
          <t>SI</t>
        </is>
      </c>
      <c r="D214" s="18" t="inlineStr">
        <is>
          <t>SI</t>
        </is>
      </c>
      <c r="E214" s="18" t="inlineStr">
        <is>
          <t>SI</t>
        </is>
      </c>
      <c r="F214" s="19" t="n"/>
      <c r="J214">
        <f>SUM(G214:I214)</f>
        <v/>
      </c>
    </row>
    <row r="215" ht="25.5" customHeight="1" s="33">
      <c r="A215" s="15" t="inlineStr">
        <is>
          <t>Escalabilidad</t>
        </is>
      </c>
      <c r="B215" s="16" t="inlineStr">
        <is>
          <t>¿Se necesita poder agregar una finca nueva sin volver a instalar ni reconfigurar todo?</t>
        </is>
      </c>
      <c r="C215" s="17" t="inlineStr">
        <is>
          <t>SI</t>
        </is>
      </c>
      <c r="D215" s="18" t="inlineStr">
        <is>
          <t>SI</t>
        </is>
      </c>
      <c r="E215" s="18" t="inlineStr">
        <is>
          <t>SI</t>
        </is>
      </c>
      <c r="F215" s="19" t="n"/>
      <c r="I215" t="n">
        <v>2</v>
      </c>
      <c r="J215">
        <f>SUM(G215:I215)</f>
        <v/>
      </c>
      <c r="K215" t="inlineStr">
        <is>
          <t>SI</t>
        </is>
      </c>
    </row>
    <row r="216" ht="25.5" customHeight="1" s="33">
      <c r="A216" s="15" t="inlineStr">
        <is>
          <t>Escalabilidad</t>
        </is>
      </c>
      <c r="B216" s="16" t="inlineStr">
        <is>
          <t>¿Se necesita poder agregar una empresa nueva sin afectar a las que ya están funcionando?</t>
        </is>
      </c>
      <c r="C216" s="17" t="inlineStr">
        <is>
          <t>SI</t>
        </is>
      </c>
      <c r="D216" s="20" t="inlineStr">
        <is>
          <t>SI</t>
        </is>
      </c>
      <c r="E216" s="20" t="inlineStr">
        <is>
          <t>SI</t>
        </is>
      </c>
      <c r="F216" s="21" t="n"/>
      <c r="J216">
        <f>SUM(G216:I216)</f>
        <v/>
      </c>
    </row>
    <row r="217" ht="25.5" customHeight="1" s="33">
      <c r="A217" s="15" t="inlineStr">
        <is>
          <t>Escalabilidad</t>
        </is>
      </c>
      <c r="B217" s="16" t="inlineStr">
        <is>
          <t>¿Se necesita soportar el aumento de actividad de la temporada alta sin degradación perceptible?</t>
        </is>
      </c>
      <c r="C217" s="17" t="inlineStr">
        <is>
          <t>SI</t>
        </is>
      </c>
      <c r="D217" s="18" t="inlineStr">
        <is>
          <t>SI</t>
        </is>
      </c>
      <c r="E217" s="18" t="inlineStr">
        <is>
          <t>SI</t>
        </is>
      </c>
      <c r="F217" s="19" t="n"/>
      <c r="H217" t="n">
        <v>1</v>
      </c>
      <c r="J217">
        <f>SUM(G217:I217)</f>
        <v/>
      </c>
      <c r="K217" t="inlineStr">
        <is>
          <t>NO</t>
        </is>
      </c>
    </row>
    <row r="218" ht="25.5" customHeight="1" s="33">
      <c r="A218" s="15" t="inlineStr">
        <is>
          <t>Escalabilidad</t>
        </is>
      </c>
      <c r="B218" s="16" t="inlineStr">
        <is>
          <t>¿Se necesita soportar que varias empresas tengan su pico de temporada exactamente en las mismas fechas?</t>
        </is>
      </c>
      <c r="C218" s="17" t="inlineStr">
        <is>
          <t>SI</t>
        </is>
      </c>
      <c r="D218" s="18" t="inlineStr">
        <is>
          <t>SI</t>
        </is>
      </c>
      <c r="E218" s="18" t="inlineStr">
        <is>
          <t>SI</t>
        </is>
      </c>
      <c r="F218" s="19" t="n"/>
      <c r="J218">
        <f>SUM(G218:I218)</f>
        <v/>
      </c>
    </row>
    <row r="219" ht="25.5" customHeight="1" s="33">
      <c r="A219" s="15" t="inlineStr">
        <is>
          <t>Escalabilidad</t>
        </is>
      </c>
      <c r="B219" s="16" t="inlineStr">
        <is>
          <t>¿Se necesita que el crecimiento del sistema no implique un aumento proporcional del costo por finca?</t>
        </is>
      </c>
      <c r="C219" s="17" t="inlineStr">
        <is>
          <t>NO</t>
        </is>
      </c>
      <c r="D219" s="18" t="inlineStr">
        <is>
          <t>NO</t>
        </is>
      </c>
      <c r="E219" s="18" t="inlineStr">
        <is>
          <t>SI</t>
        </is>
      </c>
      <c r="F219" s="19" t="n"/>
      <c r="J219">
        <f>SUM(G219:I219)</f>
        <v/>
      </c>
    </row>
    <row r="220" ht="25.5" customHeight="1" s="33">
      <c r="A220" s="15" t="inlineStr">
        <is>
          <t>Escalabilidad</t>
        </is>
      </c>
      <c r="B220" s="16" t="inlineStr">
        <is>
          <t>¿Se necesita que un cambio en la estructura del sistema se aplique a todas las empresas sin intervención manual una por una?</t>
        </is>
      </c>
      <c r="C220" s="17" t="inlineStr">
        <is>
          <t>NO</t>
        </is>
      </c>
      <c r="D220" s="18" t="inlineStr">
        <is>
          <t>NO</t>
        </is>
      </c>
      <c r="E220" s="18" t="inlineStr">
        <is>
          <t>SI</t>
        </is>
      </c>
      <c r="F220" s="19" t="n"/>
      <c r="J220">
        <f>SUM(G220:I220)</f>
        <v/>
      </c>
    </row>
    <row r="221" ht="25.5" customHeight="1" s="33">
      <c r="A221" s="15" t="inlineStr">
        <is>
          <t>Escalabilidad</t>
        </is>
      </c>
      <c r="B221" s="16" t="inlineStr">
        <is>
          <t>¿Se necesita que el sistema soporte varios años de historia acumulada sin que las consultas se vuelvan lentas?</t>
        </is>
      </c>
      <c r="C221" s="17" t="inlineStr">
        <is>
          <t>NO</t>
        </is>
      </c>
      <c r="D221" s="18" t="inlineStr">
        <is>
          <t>NO</t>
        </is>
      </c>
      <c r="E221" s="18" t="inlineStr">
        <is>
          <t>SI</t>
        </is>
      </c>
      <c r="F221" s="19" t="n"/>
      <c r="I221" t="n">
        <v>1</v>
      </c>
      <c r="J221">
        <f>SUM(G221:I221)</f>
        <v/>
      </c>
      <c r="K221" t="inlineStr">
        <is>
          <t>NO</t>
        </is>
      </c>
    </row>
    <row r="222" ht="25.5" customHeight="1" s="33">
      <c r="A222" s="15" t="inlineStr">
        <is>
          <t>Escalabilidad</t>
        </is>
      </c>
      <c r="B222" s="16" t="inlineStr">
        <is>
          <t>¿Se necesita prever el uso simultáneo de más de treinta personas subiendo información el mismo día?</t>
        </is>
      </c>
      <c r="C222" s="17" t="inlineStr">
        <is>
          <t>SI</t>
        </is>
      </c>
      <c r="D222" s="18" t="inlineStr">
        <is>
          <t>SI</t>
        </is>
      </c>
      <c r="E222" s="18" t="inlineStr">
        <is>
          <t>SI</t>
        </is>
      </c>
      <c r="F222" s="19" t="n"/>
      <c r="J222">
        <f>SUM(G222:I222)</f>
        <v/>
      </c>
    </row>
    <row r="223" ht="25.5" customHeight="1" s="33">
      <c r="A223" s="15" t="inlineStr">
        <is>
          <t>Escalabilidad</t>
        </is>
      </c>
      <c r="B223" s="16" t="inlineStr">
        <is>
          <t>¿Se necesita que agregar un tipo de labor o de medición nueva no exija rehacer la captura existente?</t>
        </is>
      </c>
      <c r="C223" s="17" t="inlineStr">
        <is>
          <t>NO</t>
        </is>
      </c>
      <c r="D223" s="18" t="inlineStr">
        <is>
          <t>NO</t>
        </is>
      </c>
      <c r="E223" s="18" t="inlineStr">
        <is>
          <t>SI</t>
        </is>
      </c>
      <c r="F223" s="19" t="n"/>
      <c r="J223">
        <f>SUM(G223:I223)</f>
        <v/>
      </c>
    </row>
    <row r="224" ht="25.5" customHeight="1" s="33">
      <c r="A224" s="15" t="inlineStr">
        <is>
          <t>Capacidad para ser Soportado</t>
        </is>
      </c>
      <c r="B224" s="16" t="inlineStr">
        <is>
          <t>¿Se necesita que exista alguien dentro de la finca capaz de resolver los problemas del día a día?</t>
        </is>
      </c>
      <c r="C224" s="17" t="inlineStr">
        <is>
          <t>SI</t>
        </is>
      </c>
      <c r="D224" s="20" t="inlineStr">
        <is>
          <t>SI</t>
        </is>
      </c>
      <c r="E224" s="20" t="inlineStr">
        <is>
          <t>SI</t>
        </is>
      </c>
      <c r="F224" s="21" t="n"/>
      <c r="I224" t="n">
        <v>2</v>
      </c>
      <c r="J224">
        <f>SUM(G224:I224)</f>
        <v/>
      </c>
      <c r="K224" t="inlineStr">
        <is>
          <t>SI</t>
        </is>
      </c>
    </row>
    <row r="225" ht="25.5" customHeight="1" s="33">
      <c r="A225" s="15" t="inlineStr">
        <is>
          <t>Capacidad para ser Soportado</t>
        </is>
      </c>
      <c r="B225" s="16" t="inlineStr">
        <is>
          <t>¿Se necesita que un problema en plena jornada de captura se resuelva el mismo día?</t>
        </is>
      </c>
      <c r="C225" s="17" t="inlineStr">
        <is>
          <t>SI</t>
        </is>
      </c>
      <c r="D225" s="18" t="inlineStr">
        <is>
          <t>SI</t>
        </is>
      </c>
      <c r="E225" s="18" t="inlineStr">
        <is>
          <t>SI</t>
        </is>
      </c>
      <c r="F225" s="19" t="n"/>
      <c r="J225">
        <f>SUM(G225:I225)</f>
        <v/>
      </c>
    </row>
    <row r="226" ht="25.5" customHeight="1" s="33">
      <c r="A226" s="15" t="inlineStr">
        <is>
          <t>Capacidad para ser Soportado</t>
        </is>
      </c>
      <c r="B226" s="16" t="inlineStr">
        <is>
          <t>¿Se necesita que un problema en plena jornada de captura se resuelva en menos de una hora?</t>
        </is>
      </c>
      <c r="C226" s="17" t="inlineStr">
        <is>
          <t>SI</t>
        </is>
      </c>
      <c r="D226" s="18" t="inlineStr">
        <is>
          <t>SI</t>
        </is>
      </c>
      <c r="E226" s="18" t="inlineStr">
        <is>
          <t>SI</t>
        </is>
      </c>
      <c r="F226" s="19" t="n"/>
      <c r="I226" t="n">
        <v>1</v>
      </c>
      <c r="J226">
        <f>SUM(G226:I226)</f>
        <v/>
      </c>
      <c r="K226" t="inlineStr">
        <is>
          <t>NO</t>
        </is>
      </c>
    </row>
    <row r="227" ht="25.5" customHeight="1" s="33">
      <c r="A227" s="15" t="inlineStr">
        <is>
          <t>Capacidad para ser Soportado</t>
        </is>
      </c>
      <c r="B227" s="16" t="inlineStr">
        <is>
          <t>¿Se necesita poder reportar un problema desde la misma aplicación, sin llamar por teléfono?</t>
        </is>
      </c>
      <c r="C227" s="17" t="inlineStr">
        <is>
          <t>SI</t>
        </is>
      </c>
      <c r="D227" s="18" t="inlineStr">
        <is>
          <t>SI</t>
        </is>
      </c>
      <c r="E227" s="18" t="inlineStr">
        <is>
          <t>NO</t>
        </is>
      </c>
      <c r="F227" s="19" t="n"/>
      <c r="J227">
        <f>SUM(G227:I227)</f>
        <v/>
      </c>
    </row>
    <row r="228" ht="25.5" customHeight="1" s="33">
      <c r="A228" s="15" t="inlineStr">
        <is>
          <t>Capacidad para ser Soportado</t>
        </is>
      </c>
      <c r="B228" s="16" t="inlineStr">
        <is>
          <t>¿Se necesita que el reporte de un problema incluya automáticamente lo que estaba haciendo la persona cuando ocurrió?</t>
        </is>
      </c>
      <c r="C228" s="17" t="inlineStr">
        <is>
          <t>NO</t>
        </is>
      </c>
      <c r="D228" s="18" t="inlineStr">
        <is>
          <t>NO</t>
        </is>
      </c>
      <c r="E228" s="18" t="inlineStr">
        <is>
          <t>NO</t>
        </is>
      </c>
      <c r="F228" s="19" t="n"/>
      <c r="J228">
        <f>SUM(G228:I228)</f>
        <v/>
      </c>
    </row>
    <row r="229" ht="25.5" customHeight="1" s="33">
      <c r="A229" s="15" t="inlineStr">
        <is>
          <t>Capacidad para ser Soportado</t>
        </is>
      </c>
      <c r="B229" s="16" t="inlineStr">
        <is>
          <t>¿Se necesita poder diagnosticar un problema sin tener que desplazarse hasta la finca?</t>
        </is>
      </c>
      <c r="C229" s="17" t="inlineStr">
        <is>
          <t>SI</t>
        </is>
      </c>
      <c r="D229" s="20" t="inlineStr">
        <is>
          <t>SI</t>
        </is>
      </c>
      <c r="E229" s="20" t="inlineStr">
        <is>
          <t>SI</t>
        </is>
      </c>
      <c r="F229" s="21" t="n"/>
      <c r="I229" t="n">
        <v>3</v>
      </c>
      <c r="J229">
        <f>SUM(G229:I229)</f>
        <v/>
      </c>
      <c r="K229" t="inlineStr">
        <is>
          <t>SI</t>
        </is>
      </c>
    </row>
    <row r="230">
      <c r="A230" s="15" t="inlineStr">
        <is>
          <t>Capacidad para ser Soportado</t>
        </is>
      </c>
      <c r="B230" s="16" t="inlineStr">
        <is>
          <t>¿Se necesita poder revisar el estado de un dispositivo de forma remota?</t>
        </is>
      </c>
      <c r="C230" s="17" t="inlineStr">
        <is>
          <t>SI</t>
        </is>
      </c>
      <c r="D230" s="20" t="inlineStr">
        <is>
          <t>SI</t>
        </is>
      </c>
      <c r="E230" s="20" t="inlineStr">
        <is>
          <t>SI</t>
        </is>
      </c>
      <c r="F230" s="21" t="n"/>
      <c r="I230" t="n">
        <v>3</v>
      </c>
      <c r="J230">
        <f>SUM(G230:I230)</f>
        <v/>
      </c>
      <c r="K230" t="inlineStr">
        <is>
          <t>SI</t>
        </is>
      </c>
    </row>
    <row r="231" ht="25.5" customHeight="1" s="33">
      <c r="A231" s="15" t="inlineStr">
        <is>
          <t>Capacidad para ser Soportado</t>
        </is>
      </c>
      <c r="B231" s="16" t="inlineStr">
        <is>
          <t>¿Se necesita que el soporte esté disponible en horario extendido durante la temporada alta?</t>
        </is>
      </c>
      <c r="C231" s="17" t="inlineStr">
        <is>
          <t>SI</t>
        </is>
      </c>
      <c r="D231" s="18" t="inlineStr">
        <is>
          <t>SI</t>
        </is>
      </c>
      <c r="E231" s="18" t="inlineStr">
        <is>
          <t>SI</t>
        </is>
      </c>
      <c r="F231" s="19" t="n"/>
      <c r="J231">
        <f>SUM(G231:I231)</f>
        <v/>
      </c>
    </row>
    <row r="232">
      <c r="A232" s="15" t="inlineStr">
        <is>
          <t>Capacidad para ser Soportado</t>
        </is>
      </c>
      <c r="B232" s="16" t="inlineStr">
        <is>
          <t>¿Se necesita que exista un manual de uso escrito?</t>
        </is>
      </c>
      <c r="C232" s="17" t="inlineStr">
        <is>
          <t>SI</t>
        </is>
      </c>
      <c r="D232" s="18" t="inlineStr">
        <is>
          <t>SI</t>
        </is>
      </c>
      <c r="E232" s="18" t="inlineStr">
        <is>
          <t>NO</t>
        </is>
      </c>
      <c r="F232" s="19" t="n"/>
      <c r="J232">
        <f>SUM(G232:I232)</f>
        <v/>
      </c>
    </row>
    <row r="233" ht="25.5" customHeight="1" s="33">
      <c r="A233" s="15" t="inlineStr">
        <is>
          <t>Capacidad para ser Soportado</t>
        </is>
      </c>
      <c r="B233" s="16" t="inlineStr">
        <is>
          <t>¿Se necesita que existan videos cortos de apoyo dentro de la propia aplicación?</t>
        </is>
      </c>
      <c r="C233" s="17" t="inlineStr">
        <is>
          <t>SI</t>
        </is>
      </c>
      <c r="D233" s="18" t="inlineStr">
        <is>
          <t>SI</t>
        </is>
      </c>
      <c r="E233" s="18" t="inlineStr">
        <is>
          <t>NO</t>
        </is>
      </c>
      <c r="F233" s="19" t="n"/>
      <c r="J233">
        <f>SUM(G233:I233)</f>
        <v/>
      </c>
    </row>
    <row r="234" ht="25.5" customHeight="1" s="33">
      <c r="A234" s="15" t="inlineStr">
        <is>
          <t>Capacidad para ser Soportado</t>
        </is>
      </c>
      <c r="B234" s="16" t="inlineStr">
        <is>
          <t>¿Se necesita que la persona que capturó pueda seguir trabajando mientras su problema se resuelve?</t>
        </is>
      </c>
      <c r="C234" s="17" t="inlineStr">
        <is>
          <t>SI</t>
        </is>
      </c>
      <c r="D234" s="18" t="inlineStr">
        <is>
          <t>SI</t>
        </is>
      </c>
      <c r="E234" s="18" t="inlineStr">
        <is>
          <t>SI</t>
        </is>
      </c>
      <c r="F234" s="19" t="n"/>
      <c r="J234">
        <f>SUM(G234:I234)</f>
        <v/>
      </c>
    </row>
    <row r="235" ht="25.5" customHeight="1" s="33">
      <c r="A235" s="15" t="inlineStr">
        <is>
          <t>Capacidad para ser Soportado</t>
        </is>
      </c>
      <c r="B235" s="16" t="inlineStr">
        <is>
          <t>¿Se necesita llevar un registro de los problemas reportados y de cómo se resolvieron?</t>
        </is>
      </c>
      <c r="C235" s="17" t="inlineStr">
        <is>
          <t>NO</t>
        </is>
      </c>
      <c r="D235" s="18" t="inlineStr">
        <is>
          <t>NO</t>
        </is>
      </c>
      <c r="E235" s="18" t="inlineStr">
        <is>
          <t>NO</t>
        </is>
      </c>
      <c r="F235" s="19" t="n"/>
      <c r="J235">
        <f>SUM(G235:I235)</f>
        <v/>
      </c>
    </row>
    <row r="236" ht="25.5" customHeight="1" s="33">
      <c r="A236" s="15" t="inlineStr">
        <is>
          <t>Capacidad para ser Soportado</t>
        </is>
      </c>
      <c r="B236" s="16" t="inlineStr">
        <is>
          <t>¿Se necesita que la puesta en marcha del sistema no detenga la operación por más de una semana?</t>
        </is>
      </c>
      <c r="C236" s="17" t="inlineStr">
        <is>
          <t>SI</t>
        </is>
      </c>
      <c r="D236" s="18" t="inlineStr">
        <is>
          <t>SI</t>
        </is>
      </c>
      <c r="E236" s="18" t="inlineStr">
        <is>
          <t>SI</t>
        </is>
      </c>
      <c r="F236" s="19" t="n"/>
      <c r="I236" t="n">
        <v>1</v>
      </c>
      <c r="J236">
        <f>SUM(G236:I236)</f>
        <v/>
      </c>
      <c r="K236" t="inlineStr">
        <is>
          <t>NO</t>
        </is>
      </c>
    </row>
    <row r="237" ht="25.5" customHeight="1" s="33">
      <c r="A237" s="15" t="inlineStr">
        <is>
          <t>Portabilidad</t>
        </is>
      </c>
      <c r="B237" s="16" t="inlineStr">
        <is>
          <t>¿Se necesita que la aplicación de captura funcione en dispositivos Android?</t>
        </is>
      </c>
      <c r="C237" s="17" t="inlineStr">
        <is>
          <t>SI</t>
        </is>
      </c>
      <c r="D237" s="20" t="inlineStr">
        <is>
          <t>SI</t>
        </is>
      </c>
      <c r="E237" s="20" t="inlineStr">
        <is>
          <t>SI</t>
        </is>
      </c>
      <c r="F237" s="21" t="n"/>
      <c r="G237" t="n">
        <v>3</v>
      </c>
      <c r="J237">
        <f>SUM(G237:I237)</f>
        <v/>
      </c>
      <c r="K237" t="inlineStr">
        <is>
          <t>SI</t>
        </is>
      </c>
    </row>
    <row r="238" ht="25.5" customHeight="1" s="33">
      <c r="A238" s="15" t="inlineStr">
        <is>
          <t>Portabilidad</t>
        </is>
      </c>
      <c r="B238" s="16" t="inlineStr">
        <is>
          <t>¿Se necesita que la aplicación de captura funcione también en dispositivos Apple?</t>
        </is>
      </c>
      <c r="C238" s="17" t="inlineStr">
        <is>
          <t>SI</t>
        </is>
      </c>
      <c r="D238" s="20" t="inlineStr">
        <is>
          <t>SI</t>
        </is>
      </c>
      <c r="E238" s="20" t="inlineStr">
        <is>
          <t>SI</t>
        </is>
      </c>
      <c r="F238" s="21" t="n"/>
      <c r="J238">
        <f>SUM(G238:I238)</f>
        <v/>
      </c>
    </row>
    <row r="239" ht="25.5" customHeight="1" s="33">
      <c r="A239" s="15" t="inlineStr">
        <is>
          <t>Portabilidad</t>
        </is>
      </c>
      <c r="B239" s="16" t="inlineStr">
        <is>
          <t>¿Se necesita que la aplicación funcione en tabletas además de en celulares?</t>
        </is>
      </c>
      <c r="C239" s="17" t="inlineStr">
        <is>
          <t>SI</t>
        </is>
      </c>
      <c r="D239" s="18" t="inlineStr">
        <is>
          <t>SI</t>
        </is>
      </c>
      <c r="E239" s="18" t="inlineStr">
        <is>
          <t>SI</t>
        </is>
      </c>
      <c r="F239" s="19" t="n"/>
      <c r="J239">
        <f>SUM(G239:I239)</f>
        <v/>
      </c>
    </row>
    <row r="240" ht="25.5" customHeight="1" s="33">
      <c r="A240" s="15" t="inlineStr">
        <is>
          <t>Portabilidad</t>
        </is>
      </c>
      <c r="B240" s="16" t="inlineStr">
        <is>
          <t>¿Se necesita que la consulta funcione en cualquier navegador, sin instalar nada?</t>
        </is>
      </c>
      <c r="C240" s="17" t="inlineStr">
        <is>
          <t>SI</t>
        </is>
      </c>
      <c r="D240" s="18" t="inlineStr">
        <is>
          <t>SI</t>
        </is>
      </c>
      <c r="E240" s="18" t="inlineStr">
        <is>
          <t>SI</t>
        </is>
      </c>
      <c r="F240" s="19" t="n"/>
      <c r="J240">
        <f>SUM(G240:I240)</f>
        <v/>
      </c>
    </row>
    <row r="241" ht="28.5" customHeight="1" s="33">
      <c r="A241" s="15" t="inlineStr">
        <is>
          <t>Portabilidad</t>
        </is>
      </c>
      <c r="B241" s="16" t="inlineStr">
        <is>
          <t>¿Se necesita que el dispositivo de captura lo ponga cada persona y no la empresa?</t>
        </is>
      </c>
      <c r="C241" s="17" t="inlineStr">
        <is>
          <t>SI</t>
        </is>
      </c>
      <c r="D241" s="18" t="inlineStr">
        <is>
          <t>SI</t>
        </is>
      </c>
      <c r="E241" s="18" t="inlineStr">
        <is>
          <t>NO</t>
        </is>
      </c>
      <c r="F241" s="19" t="inlineStr">
        <is>
          <t>IDEAL DE LA EMPRESA</t>
        </is>
      </c>
      <c r="J241">
        <f>SUM(G241:I241)</f>
        <v/>
      </c>
    </row>
    <row r="242" ht="25.5" customHeight="1" s="33">
      <c r="A242" s="15" t="inlineStr">
        <is>
          <t>Portabilidad</t>
        </is>
      </c>
      <c r="B242" s="16" t="inlineStr">
        <is>
          <t>¿Se necesita poder cambiar de dispositivo conservando la información que aún no se ha sincronizado?</t>
        </is>
      </c>
      <c r="C242" s="17" t="inlineStr">
        <is>
          <t>NO</t>
        </is>
      </c>
      <c r="D242" s="18" t="inlineStr">
        <is>
          <t>NO</t>
        </is>
      </c>
      <c r="E242" s="18" t="inlineStr">
        <is>
          <t>SI</t>
        </is>
      </c>
      <c r="F242" s="19" t="n"/>
      <c r="G242" t="n">
        <v>2</v>
      </c>
      <c r="J242">
        <f>SUM(G242:I242)</f>
        <v/>
      </c>
      <c r="K242" t="inlineStr">
        <is>
          <t>SI</t>
        </is>
      </c>
    </row>
    <row r="243" ht="25.5" customHeight="1" s="33">
      <c r="A243" s="15" t="inlineStr">
        <is>
          <t>Portabilidad</t>
        </is>
      </c>
      <c r="B243" s="16" t="inlineStr">
        <is>
          <t>¿Se necesita que la misma persona pueda usar dos dispositivos distintos el mismo día?</t>
        </is>
      </c>
      <c r="C243" s="17" t="inlineStr">
        <is>
          <t>NO</t>
        </is>
      </c>
      <c r="D243" s="18" t="inlineStr">
        <is>
          <t>SI</t>
        </is>
      </c>
      <c r="E243" s="18" t="inlineStr">
        <is>
          <t>SI</t>
        </is>
      </c>
      <c r="F243" s="19" t="n"/>
      <c r="J243">
        <f>SUM(G243:I243)</f>
        <v/>
      </c>
    </row>
    <row r="244" ht="25.5" customHeight="1" s="33">
      <c r="A244" s="15" t="inlineStr">
        <is>
          <t>Portabilidad</t>
        </is>
      </c>
      <c r="B244" s="16" t="inlineStr">
        <is>
          <t>¿Se necesita que el sistema pueda operar en una finca ubicada en otro país?</t>
        </is>
      </c>
      <c r="C244" s="17" t="inlineStr">
        <is>
          <t>SI</t>
        </is>
      </c>
      <c r="D244" s="18" t="inlineStr">
        <is>
          <t>SI</t>
        </is>
      </c>
      <c r="E244" s="18" t="inlineStr">
        <is>
          <t>NO</t>
        </is>
      </c>
      <c r="F244" s="19" t="n"/>
      <c r="J244">
        <f>SUM(G244:I244)</f>
        <v/>
      </c>
    </row>
    <row r="245">
      <c r="A245" s="15" t="inlineStr">
        <is>
          <t>Portabilidad</t>
        </is>
      </c>
      <c r="B245" s="16" t="inlineStr">
        <is>
          <t>¿Se necesita que el sistema maneje otro idioma además del español?</t>
        </is>
      </c>
      <c r="C245" s="17" t="inlineStr">
        <is>
          <t>NO</t>
        </is>
      </c>
      <c r="D245" s="18" t="inlineStr">
        <is>
          <t>NO</t>
        </is>
      </c>
      <c r="E245" s="18" t="inlineStr">
        <is>
          <t>NO</t>
        </is>
      </c>
      <c r="F245" s="19" t="n"/>
      <c r="J245">
        <f>SUM(G245:I245)</f>
        <v/>
      </c>
    </row>
    <row r="246" ht="25.5" customHeight="1" s="33">
      <c r="A246" s="15" t="inlineStr">
        <is>
          <t>Portabilidad</t>
        </is>
      </c>
      <c r="B246" s="16" t="inlineStr">
        <is>
          <t>¿Se necesita que el sistema maneje unidades de medida distintas según la finca?</t>
        </is>
      </c>
      <c r="C246" s="17" t="inlineStr">
        <is>
          <t>NO</t>
        </is>
      </c>
      <c r="D246" s="18" t="inlineStr">
        <is>
          <t>SI</t>
        </is>
      </c>
      <c r="E246" s="18" t="inlineStr">
        <is>
          <t>NO</t>
        </is>
      </c>
      <c r="F246" s="19" t="n"/>
      <c r="J246">
        <f>SUM(G246:I246)</f>
        <v/>
      </c>
    </row>
    <row r="247" ht="25.5" customHeight="1" s="33">
      <c r="A247" s="15" t="inlineStr">
        <is>
          <t>Portabilidad</t>
        </is>
      </c>
      <c r="B247" s="16" t="inlineStr">
        <is>
          <t>¿Se necesita poder llevarse toda la información en un formato utilizable si se termina la relación con el proveedor?</t>
        </is>
      </c>
      <c r="C247" s="17" t="inlineStr">
        <is>
          <t>NO</t>
        </is>
      </c>
      <c r="D247" s="18" t="inlineStr">
        <is>
          <t>NO</t>
        </is>
      </c>
      <c r="E247" s="18" t="inlineStr">
        <is>
          <t>SI</t>
        </is>
      </c>
      <c r="F247" s="19" t="n"/>
      <c r="J247">
        <f>SUM(G247:I247)</f>
        <v/>
      </c>
    </row>
    <row r="248" ht="25.5" customHeight="1" s="33">
      <c r="A248" s="15" t="inlineStr">
        <is>
          <t>Portabilidad</t>
        </is>
      </c>
      <c r="B248" s="16" t="inlineStr">
        <is>
          <t>¿Se necesita que el sistema pueda instalarse en servidores de la propia empresa y no solo en la nube?</t>
        </is>
      </c>
      <c r="C248" s="17" t="inlineStr">
        <is>
          <t>NO</t>
        </is>
      </c>
      <c r="D248" s="18" t="inlineStr">
        <is>
          <t>SI</t>
        </is>
      </c>
      <c r="E248" s="18" t="inlineStr">
        <is>
          <t>SI</t>
        </is>
      </c>
      <c r="F248" s="19" t="n"/>
      <c r="I248" t="n">
        <v>4</v>
      </c>
      <c r="J248">
        <f>SUM(G248:I248)</f>
        <v/>
      </c>
      <c r="K248" t="inlineStr">
        <is>
          <t>SI</t>
        </is>
      </c>
    </row>
    <row r="249" ht="25.5" customHeight="1" s="33">
      <c r="A249" s="15" t="inlineStr">
        <is>
          <t>Portabilidad</t>
        </is>
      </c>
      <c r="B249" s="16" t="inlineStr">
        <is>
          <t>¿Se necesita que el sistema pueda funcionar con un tipo de flor distinto al que se maneja hoy?</t>
        </is>
      </c>
      <c r="C249" s="17" t="inlineStr">
        <is>
          <t>SI</t>
        </is>
      </c>
      <c r="D249" s="18" t="inlineStr">
        <is>
          <t>SI</t>
        </is>
      </c>
      <c r="E249" s="18" t="inlineStr">
        <is>
          <t>SI</t>
        </is>
      </c>
      <c r="F249" s="19" t="n"/>
      <c r="J249">
        <f>SUM(G249:I249)</f>
        <v/>
      </c>
    </row>
    <row r="250" ht="25.5" customHeight="1" s="33">
      <c r="A250" s="15" t="inlineStr">
        <is>
          <t>Accesibilidad</t>
        </is>
      </c>
      <c r="B250" s="16" t="inlineStr">
        <is>
          <t>¿Se necesita que el sistema lo pueda usar una persona con poca experiencia en el manejo de celulares?</t>
        </is>
      </c>
      <c r="C250" s="17" t="inlineStr">
        <is>
          <t>SI</t>
        </is>
      </c>
      <c r="D250" s="18" t="inlineStr">
        <is>
          <t>SI</t>
        </is>
      </c>
      <c r="E250" s="18" t="inlineStr">
        <is>
          <t>SI</t>
        </is>
      </c>
      <c r="F250" s="19" t="n"/>
      <c r="G250" t="n">
        <v>1</v>
      </c>
      <c r="J250">
        <f>SUM(G250:I250)</f>
        <v/>
      </c>
      <c r="K250" t="inlineStr">
        <is>
          <t>NO</t>
        </is>
      </c>
    </row>
    <row r="251" ht="25.5" customHeight="1" s="33">
      <c r="A251" s="15" t="inlineStr">
        <is>
          <t>Accesibilidad</t>
        </is>
      </c>
      <c r="B251" s="16" t="inlineStr">
        <is>
          <t>¿Se necesita que el sistema lo pueda usar una persona con dificultad para leer textos largos?</t>
        </is>
      </c>
      <c r="C251" s="17" t="inlineStr">
        <is>
          <t>SI</t>
        </is>
      </c>
      <c r="D251" s="18" t="inlineStr">
        <is>
          <t>SI</t>
        </is>
      </c>
      <c r="E251" s="18" t="inlineStr">
        <is>
          <t>SI</t>
        </is>
      </c>
      <c r="F251" s="19" t="n"/>
      <c r="J251">
        <f>SUM(G251:I251)</f>
        <v/>
      </c>
    </row>
    <row r="252" ht="25.5" customHeight="1" s="33">
      <c r="A252" s="15" t="inlineStr">
        <is>
          <t>Accesibilidad</t>
        </is>
      </c>
      <c r="B252" s="16" t="inlineStr">
        <is>
          <t>¿Se necesita que las opciones se identifiquen con imágenes o símbolos además de con palabras?</t>
        </is>
      </c>
      <c r="C252" s="17" t="inlineStr">
        <is>
          <t>SI</t>
        </is>
      </c>
      <c r="D252" s="18" t="inlineStr">
        <is>
          <t>SI</t>
        </is>
      </c>
      <c r="E252" s="18" t="inlineStr">
        <is>
          <t>SI</t>
        </is>
      </c>
      <c r="F252" s="19" t="n"/>
      <c r="J252">
        <f>SUM(G252:I252)</f>
        <v/>
      </c>
    </row>
    <row r="253" ht="25.5" customHeight="1" s="33">
      <c r="A253" s="15" t="inlineStr">
        <is>
          <t>Accesibilidad</t>
        </is>
      </c>
      <c r="B253" s="16" t="inlineStr">
        <is>
          <t>¿Se necesita que el tamaño de la letra se pueda aumentar sin que la pantalla deje de funcionar?</t>
        </is>
      </c>
      <c r="C253" s="17" t="inlineStr">
        <is>
          <t>NO</t>
        </is>
      </c>
      <c r="D253" s="18" t="inlineStr">
        <is>
          <t>SI</t>
        </is>
      </c>
      <c r="E253" s="18" t="inlineStr">
        <is>
          <t>SI</t>
        </is>
      </c>
      <c r="F253" s="19" t="n"/>
      <c r="J253">
        <f>SUM(G253:I253)</f>
        <v/>
      </c>
    </row>
    <row r="254" ht="25.5" customHeight="1" s="33">
      <c r="A254" s="15" t="inlineStr">
        <is>
          <t>Accesibilidad</t>
        </is>
      </c>
      <c r="B254" s="16" t="inlineStr">
        <is>
          <t>¿Se necesita que la información nunca dependa solo del color para entenderse?</t>
        </is>
      </c>
      <c r="C254" s="17" t="inlineStr">
        <is>
          <t>SI</t>
        </is>
      </c>
      <c r="D254" s="18" t="inlineStr">
        <is>
          <t>SI</t>
        </is>
      </c>
      <c r="E254" s="18" t="inlineStr">
        <is>
          <t>SI</t>
        </is>
      </c>
      <c r="F254" s="19" t="n"/>
      <c r="J254">
        <f>SUM(G254:I254)</f>
        <v/>
      </c>
    </row>
    <row r="255" ht="25.5" customHeight="1" s="33">
      <c r="A255" s="15" t="inlineStr">
        <is>
          <t>Accesibilidad</t>
        </is>
      </c>
      <c r="B255" s="16" t="inlineStr">
        <is>
          <t>¿Se necesita que el sistema sea usable por una persona que no distingue ciertos colores?</t>
        </is>
      </c>
      <c r="C255" s="17" t="inlineStr">
        <is>
          <t>SI</t>
        </is>
      </c>
      <c r="D255" s="18" t="inlineStr">
        <is>
          <t>SI</t>
        </is>
      </c>
      <c r="E255" s="18" t="inlineStr">
        <is>
          <t>SI</t>
        </is>
      </c>
      <c r="F255" s="19" t="n"/>
      <c r="J255">
        <f>SUM(G255:I255)</f>
        <v/>
      </c>
    </row>
    <row r="256" ht="25.5" customHeight="1" s="33">
      <c r="A256" s="15" t="inlineStr">
        <is>
          <t>Accesibilidad</t>
        </is>
      </c>
      <c r="B256" s="16" t="inlineStr">
        <is>
          <t>¿Se necesita que los botones sean lo bastante grandes para acertarles sin precisión fina?</t>
        </is>
      </c>
      <c r="C256" s="17" t="inlineStr">
        <is>
          <t>SI</t>
        </is>
      </c>
      <c r="D256" s="18" t="inlineStr">
        <is>
          <t>SI</t>
        </is>
      </c>
      <c r="E256" s="18" t="inlineStr">
        <is>
          <t>SI</t>
        </is>
      </c>
      <c r="F256" s="19" t="n"/>
      <c r="G256" t="n">
        <v>1</v>
      </c>
      <c r="J256">
        <f>SUM(G256:I256)</f>
        <v/>
      </c>
      <c r="K256" t="inlineStr">
        <is>
          <t>NO</t>
        </is>
      </c>
    </row>
    <row r="257">
      <c r="A257" s="15" t="inlineStr">
        <is>
          <t>Accesibilidad</t>
        </is>
      </c>
      <c r="B257" s="16" t="inlineStr">
        <is>
          <t>¿Se necesita que la aplicación se pueda escuchar en lugar de leer?</t>
        </is>
      </c>
      <c r="C257" s="17" t="inlineStr">
        <is>
          <t>NO</t>
        </is>
      </c>
      <c r="D257" s="18" t="inlineStr">
        <is>
          <t>NO</t>
        </is>
      </c>
      <c r="E257" s="18" t="inlineStr">
        <is>
          <t>NO</t>
        </is>
      </c>
      <c r="F257" s="19" t="n"/>
      <c r="J257">
        <f>SUM(G257:I257)</f>
        <v/>
      </c>
    </row>
    <row r="258" ht="25.5" customHeight="1" s="33">
      <c r="A258" s="15" t="inlineStr">
        <is>
          <t>Accesibilidad</t>
        </is>
      </c>
      <c r="B258" s="16" t="inlineStr">
        <is>
          <t>¿Se necesita que la aplicación funcione en un ambiente ruidoso, sin depender del sonido?</t>
        </is>
      </c>
      <c r="C258" s="17" t="inlineStr">
        <is>
          <t>NO</t>
        </is>
      </c>
      <c r="D258" s="18" t="inlineStr">
        <is>
          <t>NO</t>
        </is>
      </c>
      <c r="E258" s="18" t="inlineStr">
        <is>
          <t>SI</t>
        </is>
      </c>
      <c r="F258" s="19" t="n"/>
      <c r="J258">
        <f>SUM(G258:I258)</f>
        <v/>
      </c>
    </row>
    <row r="259" ht="25.5" customHeight="1" s="33">
      <c r="A259" s="15" t="inlineStr">
        <is>
          <t>Accesibilidad</t>
        </is>
      </c>
      <c r="B259" s="16" t="inlineStr">
        <is>
          <t>¿Se necesita que la consulta web cumpla algún estándar formal de accesibilidad?</t>
        </is>
      </c>
      <c r="C259" s="17" t="inlineStr">
        <is>
          <t>NO</t>
        </is>
      </c>
      <c r="D259" s="18" t="inlineStr">
        <is>
          <t>NO</t>
        </is>
      </c>
      <c r="E259" s="18" t="inlineStr">
        <is>
          <t>NO</t>
        </is>
      </c>
      <c r="F259" s="19" t="n"/>
      <c r="J259">
        <f>SUM(G259:I259)</f>
        <v/>
      </c>
    </row>
    <row r="260" ht="25.5" customHeight="1" s="33">
      <c r="A260" s="15" t="inlineStr">
        <is>
          <t>Accesibilidad</t>
        </is>
      </c>
      <c r="B260" s="16" t="inlineStr">
        <is>
          <t>¿Se necesita que exista una manera alternativa de reportar la información cuando alguien no puede usar el dispositivo?</t>
        </is>
      </c>
      <c r="C260" s="17" t="inlineStr">
        <is>
          <t>SI</t>
        </is>
      </c>
      <c r="D260" s="18" t="inlineStr">
        <is>
          <t>SI</t>
        </is>
      </c>
      <c r="E260" s="18" t="inlineStr">
        <is>
          <t>NO</t>
        </is>
      </c>
      <c r="F260" s="19" t="n"/>
      <c r="J260">
        <f>SUM(G260:I260)</f>
        <v/>
      </c>
    </row>
    <row r="261" ht="99.75" customHeight="1" s="33">
      <c r="A261" s="15" t="inlineStr">
        <is>
          <t>Cierre de la sesión</t>
        </is>
      </c>
      <c r="B261" s="16" t="inlineStr">
        <is>
          <t>De todo lo que respondió «Sí», ¿hay algo que, si el sistema no lo cumple, haría que no valga la pena usarlo?</t>
        </is>
      </c>
      <c r="C261" s="17" t="n"/>
      <c r="D261" s="18" t="n"/>
      <c r="E261" s="18" t="n"/>
      <c r="F261" s="19" t="inlineStr">
        <is>
          <t>CERTEZA DE LOS DATOS, QUE SE INGRESEN LOS DATOS CORRECTAMENTE</t>
        </is>
      </c>
      <c r="J261">
        <f>SUM(G261:I261)</f>
        <v/>
      </c>
    </row>
    <row r="262" ht="25.5" customHeight="1" s="33">
      <c r="A262" s="15" t="inlineStr">
        <is>
          <t>Cierre de la sesión</t>
        </is>
      </c>
      <c r="B262" s="16" t="inlineStr">
        <is>
          <t>¿Hay alguna de estas exigencias que esté dispuesto a sacrificar con tal de que la captura en campo sea más rápida?</t>
        </is>
      </c>
      <c r="C262" s="17" t="n"/>
      <c r="D262" s="18" t="n"/>
      <c r="E262" s="18" t="inlineStr">
        <is>
          <t>SI</t>
        </is>
      </c>
      <c r="F262" s="19" t="n"/>
      <c r="J262">
        <f>SUM(G262:I262)</f>
        <v/>
      </c>
    </row>
    <row r="263" ht="25.5" customHeight="1" s="33">
      <c r="A263" s="15" t="inlineStr">
        <is>
          <t>Cierre de la sesión</t>
        </is>
      </c>
      <c r="B263" s="16" t="inlineStr">
        <is>
          <t>¿Hay algo que necesite el sistema y que ninguna de estas preguntas haya tocado?</t>
        </is>
      </c>
      <c r="C263" s="17" t="n"/>
      <c r="D263" s="18" t="n"/>
      <c r="E263" s="18" t="inlineStr">
        <is>
          <t>NO</t>
        </is>
      </c>
      <c r="F263" s="19" t="n"/>
      <c r="J263">
        <f>SUM(G263:I263)</f>
        <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74"/>
  <sheetViews>
    <sheetView zoomScale="85" workbookViewId="0">
      <pane xSplit="4" ySplit="1" topLeftCell="E2" activePane="bottomRight" state="frozen"/>
      <selection pane="topRight"/>
      <selection pane="bottomLeft"/>
      <selection pane="bottomRight" activeCell="G27" sqref="G27"/>
    </sheetView>
  </sheetViews>
  <sheetFormatPr baseColWidth="10" defaultRowHeight="14.25"/>
  <cols>
    <col width="7" customWidth="1" style="33" min="1" max="1"/>
    <col width="26" customWidth="1" style="33" min="2" max="2"/>
    <col width="52" customWidth="1" style="33" min="3" max="3"/>
    <col width="52" customWidth="1" style="33" min="4" max="4"/>
    <col width="34" customWidth="1" style="33" min="5" max="5"/>
    <col width="52" customWidth="1" style="33" min="6" max="6"/>
    <col width="42" customWidth="1" style="33" min="7" max="7"/>
    <col width="42" customWidth="1" style="33" min="8" max="8"/>
    <col width="56" customWidth="1" style="33" min="9" max="9"/>
    <col width="62" customWidth="1" style="33" min="10" max="10"/>
    <col width="96" customWidth="1" style="33" min="11" max="11"/>
    <col width="60" customWidth="1" style="33" min="12" max="12"/>
    <col width="30" customWidth="1" style="33" min="13" max="13"/>
    <col width="12" customWidth="1" style="33" min="14" max="14"/>
    <col width="13" customWidth="1" style="33" min="15" max="15"/>
    <col width="12" customWidth="1" style="33" min="16" max="16"/>
    <col width="11" customWidth="1" style="33" min="17" max="17"/>
  </cols>
  <sheetData>
    <row r="1" ht="34" customHeight="1" s="33">
      <c r="A1" s="34" t="inlineStr">
        <is>
          <t>Rango</t>
        </is>
      </c>
      <c r="B1" s="34" t="inlineStr">
        <is>
          <t>Atributo de calidad</t>
        </is>
      </c>
      <c r="C1" s="34" t="inlineStr">
        <is>
          <t>Pregunta original (hoja 3. Caracterización)</t>
        </is>
      </c>
      <c r="D1" s="34" t="inlineStr">
        <is>
          <t>Planteamiento corregido (pregunta de escenario)</t>
        </is>
      </c>
      <c r="E1" s="34" t="inlineStr">
        <is>
          <t>Fuente</t>
        </is>
      </c>
      <c r="F1" s="34" t="inlineStr">
        <is>
          <t>Estímulo</t>
        </is>
      </c>
      <c r="G1" s="34" t="inlineStr">
        <is>
          <t>Artefacto</t>
        </is>
      </c>
      <c r="H1" s="34" t="inlineStr">
        <is>
          <t>Entorno</t>
        </is>
      </c>
      <c r="I1" s="34" t="inlineStr">
        <is>
          <t>Respuesta</t>
        </is>
      </c>
      <c r="J1" s="34" t="inlineStr">
        <is>
          <t>Medida de respuesta</t>
        </is>
      </c>
      <c r="K1" s="34" t="inlineStr">
        <is>
          <t>Escenario de calidad</t>
        </is>
      </c>
      <c r="L1" s="34" t="inlineStr">
        <is>
          <t>Observaciones</t>
        </is>
      </c>
      <c r="M1" s="34" t="inlineStr">
        <is>
          <t>Rol que la priorizó</t>
        </is>
      </c>
      <c r="N1" s="34" t="inlineStr">
        <is>
          <t>Supervisor de campo</t>
        </is>
      </c>
      <c r="O1" s="34" t="inlineStr">
        <is>
          <t>Adm. producción y ventas</t>
        </is>
      </c>
      <c r="P1" s="34" t="inlineStr">
        <is>
          <t>Adm. del sistema</t>
        </is>
      </c>
      <c r="Q1" s="34" t="inlineStr">
        <is>
          <t>Puntaje total</t>
        </is>
      </c>
    </row>
    <row r="2">
      <c r="A2" s="35" t="n">
        <v>1</v>
      </c>
      <c r="B2" s="36" t="inlineStr">
        <is>
          <t>Confiabilidad</t>
        </is>
      </c>
      <c r="C2" s="36" t="inlineStr">
        <is>
          <t>¿Se necesita que no se pierda ningún dato capturado bajo ninguna circunstancia?</t>
        </is>
      </c>
      <c r="D2" s="36" t="inlineStr">
        <is>
          <t>¿Cuánta información capturada puede perderse ante un fallo del dispositivo, de la red o del servidor?</t>
        </is>
      </c>
      <c r="E2" s="36" t="inlineStr">
        <is>
          <t>Un supervisor de campo</t>
        </is>
      </c>
      <c r="F2" s="36" t="inlineStr">
        <is>
          <t>termina la captura de una cama y, antes de que el registro llegue al servidor, el dispositivo se apaga, la aplicación se cierra o la conexión desaparece</t>
        </is>
      </c>
      <c r="G2" s="36" t="inlineStr">
        <is>
          <t>el almacén local de la aplicación de captura, la cola de sincronización y el repositorio central</t>
        </is>
      </c>
      <c r="H2" s="36" t="inlineStr">
        <is>
          <t>en operación normal, en el área de cultivo sin conectividad y con registros de la jornada aún pendientes</t>
        </is>
      </c>
      <c r="I2" s="36" t="inlineStr">
        <is>
          <t>El sistema conserva el registro persistido en el dispositivo antes de confirmarlo al usuario y lo entrega al repositorio central exactamente una vez; lo no confirmado permanece pendiente y se reintenta solo</t>
        </is>
      </c>
      <c r="J2" s="36" t="inlineStr">
        <is>
          <t>cero registros perdidos (tolerancia CERO de CN-15), cero registros duplicados, 100% de los pendientes entregados en la siguiente sincronización y punto de recuperación (RPO) igual a cero</t>
        </is>
      </c>
      <c r="K2" s="36" t="inlineStr">
        <is>
          <t>Un supervisor de campo termina la captura de una cama y, antes de que el registro llegue al servidor, el dispositivo se apaga, la aplicación se cierra o la conexión desaparece, sobre el almacén local de la aplicación de captura, la cola de sincronización y el repositorio central, en operación normal, en el área de cultivo sin conectividad y con registros de la jornada aún pendientes. El sistema conserva el registro persistido en el dispositivo antes de confirmarlo al usuario y lo entrega al repositorio central exactamente una vez; lo no confirmado permanece pendiente y se reintenta solo, con cero registros perdidos (tolerancia CERO de CN-15), cero registros duplicados, 100% de los pendientes entregados en la siguiente sincronización y punto de recuperación (RPO) igual a cero.</t>
        </is>
      </c>
      <c r="L2" s="36" t="inlineStr">
        <is>
          <t>Estaba planteado como funcionalidad («que no se pierda ningún dato»). Se replantea con un estímulo de fallo concreto y con el número duro de DEC-12/CN-15: pérdida CERO, no «poca pérdida».</t>
        </is>
      </c>
      <c r="M2" s="36" t="inlineStr">
        <is>
          <t>Supervisor de campo (tomador de datos) / Administrador de producción y ventas</t>
        </is>
      </c>
      <c r="N2" s="37" t="n">
        <v>5</v>
      </c>
      <c r="O2" s="37" t="n">
        <v>5</v>
      </c>
      <c r="P2" s="37" t="n"/>
      <c r="Q2" s="37" t="n">
        <v>10</v>
      </c>
    </row>
    <row r="3">
      <c r="A3" s="38" t="n">
        <v>2</v>
      </c>
      <c r="B3" s="39" t="inlineStr">
        <is>
          <t>Confiabilidad</t>
        </is>
      </c>
      <c r="C3" s="39" t="inlineStr">
        <is>
          <t>¿Se necesita que el sistema rechace un dato cuando está fuera del rango posible (por ejemplo, más tallos que plantas sembradas)?</t>
        </is>
      </c>
      <c r="D3" s="39" t="inlineStr">
        <is>
          <t>¿Con qué rapidez y con qué cobertura debe el sistema impedir que un dato imposible entre al repositorio, estando sin conexión?</t>
        </is>
      </c>
      <c r="E3" s="39" t="inlineStr">
        <is>
          <t>Un supervisor de campo</t>
        </is>
      </c>
      <c r="F3" s="39" t="inlineStr">
        <is>
          <t>digita un valor que viola una regla dura del catálogo (más tallos que plantas sembradas, o corte antes de los días mínimos de la variedad)</t>
        </is>
      </c>
      <c r="G3" s="39" t="inlineStr">
        <is>
          <t>el motor de validación local de la aplicación de captura (CN-22)</t>
        </is>
      </c>
      <c r="H3" s="39" t="inlineStr">
        <is>
          <t>en el invernadero, sin conexión de datos, durante la jornada de captura</t>
        </is>
      </c>
      <c r="I3" s="39" t="inlineStr">
        <is>
          <t>El sistema evalúa la regla en el propio dispositivo, rechaza el valor en el momento, muestra el motivo y no deja continuar hasta corregirlo</t>
        </is>
      </c>
      <c r="J3" s="39" t="inlineStr">
        <is>
          <t>100% de las reglas duras evaluables sin servidor, rechazo visible en menos de 1 segundo desde la digitación, cero registros fuera de rango aceptados en el repositorio y reducción del error de captura declarado del 2% al 0%</t>
        </is>
      </c>
      <c r="K3" s="39" t="inlineStr">
        <is>
          <t>Un supervisor de campo digita un valor que viola una regla dura del catálogo (más tallos que plantas sembradas, o corte antes de los días mínimos de la variedad), sobre el motor de validación local de la aplicación de captura (CN-22), en el invernadero, sin conexión de datos, durante la jornada de captura. El sistema evalúa la regla en el propio dispositivo, rechaza el valor en el momento, muestra el motivo y no deja continuar hasta corregirlo, con 100% de las reglas duras evaluables sin servidor, rechazo visible en menos de 1 segundo desde la digitación, cero registros fuera de rango aceptados en el repositorio y reducción del error de captura declarado del 2% al 0%.</t>
        </is>
      </c>
      <c r="L3" s="39" t="inlineStr">
        <is>
          <t>Era una funcionalidad de validación. Se replantea sobre el atributo: que la regla se cumpla sin servidor y con motivo visible, y se ata a la meta 2%→0% (RF-C19).</t>
        </is>
      </c>
      <c r="M3" s="39" t="inlineStr">
        <is>
          <t>Supervisor de campo (tomador de datos) / Administrador de producción y ventas</t>
        </is>
      </c>
      <c r="N3" s="40" t="n">
        <v>3</v>
      </c>
      <c r="O3" s="40" t="n">
        <v>3</v>
      </c>
      <c r="P3" s="40" t="n"/>
      <c r="Q3" s="40" t="n">
        <v>6</v>
      </c>
    </row>
    <row r="4">
      <c r="A4" s="35" t="n">
        <v>3</v>
      </c>
      <c r="B4" s="36" t="inlineStr">
        <is>
          <t>Confiabilidad</t>
        </is>
      </c>
      <c r="C4" s="36" t="inlineStr">
        <is>
          <t>¿Se necesita que el sistema haga copias de respaldo de manera automática, sin que nadie lo solicite?</t>
        </is>
      </c>
      <c r="D4" s="36" t="inlineStr">
        <is>
          <t>¿Con qué frecuencia y con qué garantía de recuperación se respalda la información sin que nadie lo solicite?</t>
        </is>
      </c>
      <c r="E4" s="36" t="inlineStr">
        <is>
          <t>El propio sistema, por calendario y sin intervención humana</t>
        </is>
      </c>
      <c r="F4" s="36" t="inlineStr">
        <is>
          <t>alcanza la ventana programada de respaldo</t>
        </is>
      </c>
      <c r="G4" s="36" t="inlineStr">
        <is>
          <t>la base de datos de la empresa (una por cliente, DEC-11) y el almacén de respaldos cifrado</t>
        </is>
      </c>
      <c r="H4" s="36" t="inlineStr">
        <is>
          <t>en operación normal, dentro de la franja de menor carga</t>
        </is>
      </c>
      <c r="I4" s="36" t="inlineStr">
        <is>
          <t>El sistema ejecuta el respaldo, lo cifra, verifica su integridad y reporta el resultado al administrador sin que nadie lo pida</t>
        </is>
      </c>
      <c r="J4" s="36" t="inlineStr">
        <is>
          <t>al menos 1 respaldo verificado por día y por empresa, cero respaldos omitidos sin alerta, 100% de respaldos cifrados y restauración completa de una empresa en 1 día o menos (CN-15)</t>
        </is>
      </c>
      <c r="K4" s="36" t="inlineStr">
        <is>
          <t>El propio sistema, por calendario y sin intervención humana, alcanza la ventana programada de respaldo, sobre la base de datos de la empresa (una por cliente, DEC-11) y el almacén de respaldos cifrado, en operación normal, dentro de la franja de menor carga. El sistema ejecuta el respaldo, lo cifra, verifica su integridad y reporta el resultado al administrador sin que nadie lo pida, con al menos 1 respaldo verificado por día y por empresa, cero respaldos omitidos sin alerta, 100% de respaldos cifrados y restauración completa de una empresa en 1 día o menos (CN-15).</t>
        </is>
      </c>
      <c r="L4" s="36" t="inlineStr">
        <is>
          <t>Era una funcionalidad («hacer copias»). Se replantea como confiabilidad medible: periodicidad, verificación de integridad y el tiempo de restauración de 1 día que fijó DEC-12.</t>
        </is>
      </c>
      <c r="M4" s="36" t="inlineStr">
        <is>
          <t>Administrador del sistema</t>
        </is>
      </c>
      <c r="N4" s="37" t="n"/>
      <c r="O4" s="37" t="n"/>
      <c r="P4" s="37" t="n">
        <v>5</v>
      </c>
      <c r="Q4" s="37" t="n">
        <v>5</v>
      </c>
    </row>
    <row r="5">
      <c r="A5" s="38" t="n">
        <v>4</v>
      </c>
      <c r="B5" s="39" t="inlineStr">
        <is>
          <t>Disponibilidad</t>
        </is>
      </c>
      <c r="C5" s="39" t="inlineStr">
        <is>
          <t>¿Se necesita capturar información en el área de cultivo sin ninguna conexión de datos?</t>
        </is>
      </c>
      <c r="D5" s="39" t="inlineStr">
        <is>
          <t>¿Durante cuánto tiempo y con qué parte de la funcionalidad debe operar la captura sin ninguna conexión de datos?</t>
        </is>
      </c>
      <c r="E5" s="39" t="inlineStr">
        <is>
          <t>Un supervisor de campo</t>
        </is>
      </c>
      <c r="F5" s="39" t="inlineStr">
        <is>
          <t>entra a un invernadero sin cobertura e inicia la captura de una cama</t>
        </is>
      </c>
      <c r="G5" s="39" t="inlineStr">
        <is>
          <t>la aplicación móvil de captura con el catálogo y las reglas ya descargados (CN-26)</t>
        </is>
      </c>
      <c r="H5" s="39" t="inlineStr">
        <is>
          <t>en el área de cultivo sin conectividad (CN-17), durante una jornada completa</t>
        </is>
      </c>
      <c r="I5" s="39" t="inlineStr">
        <is>
          <t>El sistema permite identificar la cama, validar y guardar el registro completo sin ninguna llamada al servidor, y deja el envío en cola</t>
        </is>
      </c>
      <c r="J5" s="39" t="inlineStr">
        <is>
          <t>100% del flujo de captura disponible sin conexión durante al menos una jornada de 8 horas, cero funciones de captura que exijan red y cero pérdidas al recuperar la señal</t>
        </is>
      </c>
      <c r="K5" s="39" t="inlineStr">
        <is>
          <t>Un supervisor de campo entra a un invernadero sin cobertura e inicia la captura de una cama, sobre la aplicación móvil de captura con el catálogo y las reglas ya descargados (CN-26), en el área de cultivo sin conectividad (CN-17), durante una jornada completa. El sistema permite identificar la cama, validar y guardar el registro completo sin ninguna llamada al servidor, y deja el envío en cola, con 100% del flujo de captura disponible sin conexión durante al menos una jornada de 8 horas, cero funciones de captura que exijan red y cero pérdidas al recuperar la señal.</t>
        </is>
      </c>
      <c r="L5" s="39" t="inlineStr">
        <is>
          <t>Se replantea de «poder capturar sin datos» a un escenario de disponibilidad con autonomía y cobertura funcional medibles; el offline no es preferencia sino condición física del entorno (CN-17).</t>
        </is>
      </c>
      <c r="M5" s="39" t="inlineStr">
        <is>
          <t>Supervisor de campo (tomador de datos)</t>
        </is>
      </c>
      <c r="N5" s="40" t="n">
        <v>5</v>
      </c>
      <c r="O5" s="40" t="n"/>
      <c r="P5" s="40" t="n"/>
      <c r="Q5" s="40" t="n">
        <v>5</v>
      </c>
    </row>
    <row r="6">
      <c r="A6" s="35" t="n">
        <v>5</v>
      </c>
      <c r="B6" s="36" t="inlineStr">
        <is>
          <t>Rendimiento</t>
        </is>
      </c>
      <c r="C6" s="36" t="inlineStr">
        <is>
          <t>¿Se necesita que la proyección se recalcule en el momento en que llega información nueva?</t>
        </is>
      </c>
      <c r="D6" s="36" t="inlineStr">
        <is>
          <t>¿En cuánto tiempo debe reflejarse en la proyección la información que acaba de sincronizarse?</t>
        </is>
      </c>
      <c r="E6" s="36" t="inlineStr">
        <is>
          <t>Un gerente de producción</t>
        </is>
      </c>
      <c r="F6" s="36" t="inlineStr">
        <is>
          <t>recibe la sincronización de un lote de registros de corte, baja o erradicación</t>
        </is>
      </c>
      <c r="G6" s="36" t="inlineStr">
        <is>
          <t>el motor de proyección y sus versiones inmutables (CN-27)</t>
        </is>
      </c>
      <c r="H6" s="36" t="inlineStr">
        <is>
          <t>al cierre de la jornada, con varios dispositivos sincronizando al mismo tiempo</t>
        </is>
      </c>
      <c r="I6" s="36" t="inlineStr">
        <is>
          <t>El sistema recalcula la proyección afectada y publica una versión nueva fechada, conservando intacta la anterior</t>
        </is>
      </c>
      <c r="J6" s="36" t="inlineStr">
        <is>
          <t>proyección actualizada y visible en 1 hora o menos desde la sincronización, recálculo semanal como mínimo y bajo demanda ante erradicación o baja, 100% de versiones anteriores conservadas y latencia extremo a extremo de 8 días (estado actual) a 1 día</t>
        </is>
      </c>
      <c r="K6" s="36" t="inlineStr">
        <is>
          <t>Un gerente de producción recibe la sincronización de un lote de registros de corte, baja o erradicación, sobre el motor de proyección y sus versiones inmutables (CN-27), al cierre de la jornada, con varios dispositivos sincronizando al mismo tiempo. El sistema recalcula la proyección afectada y publica una versión nueva fechada, conservando intacta la anterior, con proyección actualizada y visible en 1 hora o menos desde la sincronización, recálculo semanal como mínimo y bajo demanda ante erradicación o baja, 100% de versiones anteriores conservadas y latencia extremo a extremo de 8 días (estado actual) a 1 día.</t>
        </is>
      </c>
      <c r="L6" s="36" t="inlineStr">
        <is>
          <t>La pregunta pedía un recálculo (funcionalidad). Se replantea como rendimiento con ventana de tiempo y con los 8 días de latencia actual (H-26) como línea base de comparación.</t>
        </is>
      </c>
      <c r="M6" s="36" t="inlineStr">
        <is>
          <t>Administrador de producción y ventas</t>
        </is>
      </c>
      <c r="N6" s="37" t="n"/>
      <c r="O6" s="37" t="n">
        <v>5</v>
      </c>
      <c r="P6" s="37" t="n"/>
      <c r="Q6" s="37" t="n">
        <v>5</v>
      </c>
    </row>
    <row r="7">
      <c r="A7" s="38" t="n">
        <v>6</v>
      </c>
      <c r="B7" s="39" t="inlineStr">
        <is>
          <t>Capacidad para ser Administrado</t>
        </is>
      </c>
      <c r="C7" s="39" t="inlineStr">
        <is>
          <t>¿Se necesita que quien administra el sistema en la finca no pueda modificar la información de producción?</t>
        </is>
      </c>
      <c r="D7" s="39" t="inlineStr">
        <is>
          <t>¿Qué debe impedir el sistema cuando quien tiene los máximos privilegios técnicos toca un dato de producción?</t>
        </is>
      </c>
      <c r="E7" s="39" t="inlineStr">
        <is>
          <t>Un administrador del sistema (superusuario de la finca)</t>
        </is>
      </c>
      <c r="F7" s="39" t="inlineStr">
        <is>
          <t>intenta modificar directamente un dato de producción ya registrado</t>
        </is>
      </c>
      <c r="G7" s="39" t="inlineStr">
        <is>
          <t>el control de acceso por roles (CN-12) y la bitácora inmutable</t>
        </is>
      </c>
      <c r="H7" s="39" t="inlineStr">
        <is>
          <t>en operación normal, con la plataforma en línea</t>
        </is>
      </c>
      <c r="I7" s="39" t="inlineStr">
        <is>
          <t>El sistema impide el cambio unilateral: solo admite la corrección con referencia a la aprobación del gerente o ingeniero de producción y deja el valor anterior en bitácora</t>
        </is>
      </c>
      <c r="J7" s="39" t="inlineStr">
        <is>
          <t>cero modificaciones de datos de producción sin aprobación referenciada, 100% de los intentos registrados en bitácora y cero entradas de bitácora editables o borrables</t>
        </is>
      </c>
      <c r="K7" s="39" t="inlineStr">
        <is>
          <t>Un administrador del sistema (superusuario de la finca) intenta modificar directamente un dato de producción ya registrado, sobre el control de acceso por roles (CN-12) y la bitácora inmutable, en operación normal, con la plataforma en línea. El sistema impide el cambio unilateral: solo admite la corrección con referencia a la aprobación del gerente o ingeniero de producción y deja el valor anterior en bitácora, con cero modificaciones de datos de producción sin aprobación referenciada, 100% de los intentos registrados en bitácora y cero entradas de bitácora editables o borrables.</t>
        </is>
      </c>
      <c r="L7" s="39" t="inlineStr">
        <is>
          <t>Era una restricción de permisos. Se replantea como escenario de administrabilidad y auditoría apoyado en RN-17, con el estímulo puesto sobre el rol más poderoso, que es donde el atributo se pone a prueba.</t>
        </is>
      </c>
      <c r="M7" s="39" t="inlineStr">
        <is>
          <t>Administrador del sistema</t>
        </is>
      </c>
      <c r="N7" s="40" t="n"/>
      <c r="O7" s="40" t="n"/>
      <c r="P7" s="40" t="n">
        <v>5</v>
      </c>
      <c r="Q7" s="40" t="n">
        <v>5</v>
      </c>
    </row>
    <row r="8">
      <c r="A8" s="35" t="n">
        <v>7</v>
      </c>
      <c r="B8" s="36" t="inlineStr">
        <is>
          <t>Confiabilidad</t>
        </is>
      </c>
      <c r="C8" s="36" t="inlineStr">
        <is>
          <t>¿Se necesita que los rangos y las reglas de validación se puedan cambiar sin depender de una nueva versión de la aplicación?</t>
        </is>
      </c>
      <c r="D8" s="36" t="inlineStr">
        <is>
          <t>¿Se necesita que los rangos y las reglas de validación se puedan cambiar sin depender de una nueva versión de la aplicación?</t>
        </is>
      </c>
      <c r="E8" s="36" t="inlineStr">
        <is>
          <t>Un administrador del sistema, con el valor aprobado por el ingeniero agrónomo o el encargado de producción</t>
        </is>
      </c>
      <c r="F8" s="36" t="inlineStr">
        <is>
          <t>cambia un rango válido, un ciclo, un margen o una regla de validación y ejecuta la acción de guardar, porque entró una variedad nueva, porque un valor se recalibró o porque el sistema se aplica a un cultivo distinto</t>
        </is>
      </c>
      <c r="G8" s="36" t="inlineStr">
        <is>
          <t>el catálogo de reglas y parámetros almacenado como dato versionado y su mecanismo de distribución a dispositivos y servidor</t>
        </is>
      </c>
      <c r="H8" s="36" t="inlineStr">
        <is>
          <t>en operación normal, en plena jornada laboral, con los dispositivos ya en campo y posiblemente fuera de línea</t>
        </is>
      </c>
      <c r="I8" s="36" t="inlineStr">
        <is>
          <t>El sistema aplica la regla nueva sin publicar una versión nueva de la aplicación y sin que nadie reinstale nada: la propaga a los dispositivos conectados y la deja en cola para los desconectados</t>
        </is>
      </c>
      <c r="J8" s="36" t="inlineStr">
        <is>
          <t>cero despliegues de aplicación, vigencia en todos los dispositivos en menos de un ciclo de sincronización, 0% de rechazos por conflicto con otras reglas, cero proyecciones históricas alteradas y cero solicitudes al desarrollador</t>
        </is>
      </c>
      <c r="K8" s="36" t="inlineStr">
        <is>
          <t>Un administrador del sistema, con el valor aprobado por el ingeniero agrónomo o el encargado de producción, cambia un rango válido, un ciclo, un margen o una regla de validación y ejecuta la acción de guardar, porque entró una variedad nueva, porque un valor se recalibró o porque el sistema se aplica a un cultivo distinto, sobre el catálogo de reglas y parámetros almacenado como dato versionado y su mecanismo de distribución a dispositivos y servidor, en operación normal, en plena jornada laboral, con los dispositivos ya en campo y posiblemente fuera de línea. El sistema aplica la regla nueva sin publicar una versión nueva de la aplicación y sin que nadie reinstale nada: la propaga a los dispositivos conectados y la deja en cola para los desconectados, con cero despliegues de aplicación, vigencia en todos los dispositivos en menos de un ciclo de sincronización, 0% de rechazos por conflicto con otras reglas, cero proyecciones históricas alteradas y cero solicitudes al desarrollador.</t>
        </is>
      </c>
      <c r="L8" s="36" t="inlineStr">
        <is>
          <t>Escenario de referencia (el corregido en «escenarios de calidad.xlsx»). Estaba planteado como funcionalidad y se confunde con una; el cambio se hace sobre el catálogo entendido como dato, no sobre el código (RN-13).</t>
        </is>
      </c>
      <c r="M8" s="36" t="inlineStr">
        <is>
          <t>Administrador de producción y ventas / Administrador del sistema</t>
        </is>
      </c>
      <c r="N8" s="37" t="n"/>
      <c r="O8" s="37" t="n">
        <v>3</v>
      </c>
      <c r="P8" s="37" t="n">
        <v>1</v>
      </c>
      <c r="Q8" s="37" t="n">
        <v>4</v>
      </c>
    </row>
    <row r="9">
      <c r="A9" s="38" t="n">
        <v>8</v>
      </c>
      <c r="B9" s="39" t="inlineStr">
        <is>
          <t>Confiabilidad</t>
        </is>
      </c>
      <c r="C9" s="39" t="inlineStr">
        <is>
          <t>¿Se necesita poder corregir un dato ya capturado antes de que se sincronice?</t>
        </is>
      </c>
      <c r="D9" s="39" t="inlineStr">
        <is>
          <t>¿Con qué costo de interacción y con qué rastro puede corregirse un dato que todavía no ha salido del dispositivo?</t>
        </is>
      </c>
      <c r="E9" s="39" t="inlineStr">
        <is>
          <t>Un supervisor de campo</t>
        </is>
      </c>
      <c r="F9" s="39" t="inlineStr">
        <is>
          <t>detecta que digitó mal un valor de una cama cuyo registro aún no se ha sincronizado</t>
        </is>
      </c>
      <c r="G9" s="39" t="inlineStr">
        <is>
          <t>el registro pendiente en el almacén local del dispositivo</t>
        </is>
      </c>
      <c r="H9" s="39" t="inlineStr">
        <is>
          <t>en campo, sin conexión, dentro de la misma jornada de captura</t>
        </is>
      </c>
      <c r="I9" s="39" t="inlineStr">
        <is>
          <t>El sistema permite editar el registro pendiente sin salir del flujo, revalida las reglas duras y conserva el valor anterior para la bitácora que viajará con la sincronización</t>
        </is>
      </c>
      <c r="J9" s="39" t="inlineStr">
        <is>
          <t>corrección en 3 toques o menos y en menos de 30 segundos, 100% de correcciones revalidadas sin conexión, 100% con rastro del valor anterior (RN-18) y cero correcciones locales que exijan intervención del administrador</t>
        </is>
      </c>
      <c r="K9" s="39" t="inlineStr">
        <is>
          <t>Un supervisor de campo detecta que digitó mal un valor de una cama cuyo registro aún no se ha sincronizado, sobre el registro pendiente en el almacén local del dispositivo, en campo, sin conexión, dentro de la misma jornada de captura. El sistema permite editar el registro pendiente sin salir del flujo, revalida las reglas duras y conserva el valor anterior para la bitácora que viajará con la sincronización, con corrección en 3 toques o menos y en menos de 30 segundos, 100% de correcciones revalidadas sin conexión, 100% con rastro del valor anterior (RN-18) y cero correcciones locales que exijan intervención del administrador.</t>
        </is>
      </c>
      <c r="L9" s="39" t="inlineStr">
        <is>
          <t>Se replantea de «poder editar» a un escenario que distingue el dato pendiente del sincronizado —dos regímenes de control distintos (ver rango 58)— con costo de interacción y trazabilidad medibles.</t>
        </is>
      </c>
      <c r="M9" s="39" t="inlineStr">
        <is>
          <t>Supervisor de campo (tomador de datos)</t>
        </is>
      </c>
      <c r="N9" s="40" t="n">
        <v>4</v>
      </c>
      <c r="O9" s="40" t="n"/>
      <c r="P9" s="40" t="n"/>
      <c r="Q9" s="40" t="n">
        <v>4</v>
      </c>
    </row>
    <row r="10">
      <c r="A10" s="35" t="n">
        <v>9</v>
      </c>
      <c r="B10" s="36" t="inlineStr">
        <is>
          <t>Confiabilidad</t>
        </is>
      </c>
      <c r="C10" s="36" t="inlineStr">
        <is>
          <t>¿Se necesita saber, sobre cada proyección, con qué datos y con qué parámetros fue calculada?</t>
        </is>
      </c>
      <c r="D10" s="36" t="inlineStr">
        <is>
          <t>¿Qué tan reproducible debe ser una proyección: con qué datos y con qué versión de parámetros se calculó?</t>
        </is>
      </c>
      <c r="E10" s="36" t="inlineStr">
        <is>
          <t>Un gerente de producción</t>
        </is>
      </c>
      <c r="F10" s="36" t="inlineStr">
        <is>
          <t>abre una proyección publicada y pide ver de qué está hecha</t>
        </is>
      </c>
      <c r="G10" s="36" t="inlineStr">
        <is>
          <t>la versión inmutable de la proyección junto con los parámetros con que se calculó (CN-27)</t>
        </is>
      </c>
      <c r="H10" s="36" t="inlineStr">
        <is>
          <t>en la consulta web, en operación normal, sobre proyecciones que ya se compararon contra el corte real</t>
        </is>
      </c>
      <c r="I10" s="36" t="inlineStr">
        <is>
          <t>El sistema muestra la versión de parámetros usada (densidad, % de productividad, curva de reparto, días a corte) y el conjunto de registros base que la alimentaron</t>
        </is>
      </c>
      <c r="J10" s="36" t="inlineStr">
        <is>
          <t>100% de proyecciones con versión de parámetros asociada, navegación de la cifra al dato base en 3 pasos o menos y cero proyecciones sin origen reconstruible</t>
        </is>
      </c>
      <c r="K10" s="36" t="inlineStr">
        <is>
          <t>Un gerente de producción abre una proyección publicada y pide ver de qué está hecha, sobre la versión inmutable de la proyección junto con los parámetros con que se calculó (CN-27), en la consulta web, en operación normal, sobre proyecciones que ya se compararon contra el corte real. El sistema muestra la versión de parámetros usada (densidad, % de productividad, curva de reparto, días a corte) y el conjunto de registros base que la alimentaron, con 100% de proyecciones con versión de parámetros asociada, navegación de la cifra al dato base en 3 pasos o menos y cero proyecciones sin origen reconstruible.</t>
        </is>
      </c>
      <c r="L10" s="36" t="inlineStr">
        <is>
          <t>Era una consulta. Se replantea como reproducibilidad: sin ella no se puede sostener la comparación proyectado vs. real que es la métrica de éxito del proyecto (RF-C12).</t>
        </is>
      </c>
      <c r="M10" s="36" t="inlineStr">
        <is>
          <t>Administrador de producción y ventas</t>
        </is>
      </c>
      <c r="N10" s="37" t="n"/>
      <c r="O10" s="37" t="n">
        <v>4</v>
      </c>
      <c r="P10" s="37" t="n"/>
      <c r="Q10" s="37" t="n">
        <v>4</v>
      </c>
    </row>
    <row r="11">
      <c r="A11" s="38" t="n">
        <v>10</v>
      </c>
      <c r="B11" s="39" t="inlineStr">
        <is>
          <t>Confiabilidad</t>
        </is>
      </c>
      <c r="C11" s="39" t="inlineStr">
        <is>
          <t>¿Se necesita que el sistema muestre cuánto se desvió la proyección anterior frente a lo que realmente se cortó?</t>
        </is>
      </c>
      <c r="D11" s="39" t="inlineStr">
        <is>
          <t>¿Con qué banda, a qué nivel y en qué plazo debe el sistema exponer la desviación entre lo proyectado y lo realmente cortado?</t>
        </is>
      </c>
      <c r="E11" s="39" t="inlineStr">
        <is>
          <t>Un gerente de producción</t>
        </is>
      </c>
      <c r="F11" s="39" t="inlineStr">
        <is>
          <t>cierra el corte de una cama y lo compara contra la misma versión de proyección que lo anticipó</t>
        </is>
      </c>
      <c r="G11" s="39" t="inlineStr">
        <is>
          <t>el comparador de proyectado contra real sobre versiones fechadas de proyección</t>
        </is>
      </c>
      <c r="H11" s="39" t="inlineStr">
        <is>
          <t>en operación normal, en el cierre semanal, sobre camas cuyo corte dura alrededor de 7 días</t>
        </is>
      </c>
      <c r="I11" s="39" t="inlineStr">
        <is>
          <t>El sistema calcula y muestra la desviación de esa misma proyección y señala si quedó dentro de la banda aceptada</t>
        </is>
      </c>
      <c r="J11" s="39" t="inlineStr">
        <is>
          <t>desviación disponible para el 100% de las camas cerradas, banda de ±10% parametrizable (RN-12), nivel de medición declarado de forma explícita (cama, bloque o finca, y periodo) y resultado disponible en 1 día o menos desde el cierre</t>
        </is>
      </c>
      <c r="K11" s="39" t="inlineStr">
        <is>
          <t>Un gerente de producción cierra el corte de una cama y lo compara contra la misma versión de proyección que lo anticipó, sobre el comparador de proyectado contra real sobre versiones fechadas de proyección, en operación normal, en el cierre semanal, sobre camas cuyo corte dura alrededor de 7 días. El sistema calcula y muestra la desviación de esa misma proyección y señala si quedó dentro de la banda aceptada, con desviación disponible para el 100% de las camas cerradas, banda de ±10% parametrizable (RN-12), nivel de medición declarado de forma explícita (cama, bloque o finca, y periodo) y resultado disponible en 1 día o menos desde el cierre.</t>
        </is>
      </c>
      <c r="L11" s="39" t="inlineStr">
        <is>
          <t>Era un reporte. Se replantea fijando banda, nivel y periodo. Queda advertido que el −6% actual y el ±10% de tolerancia se midieron a niveles distintos: BR-21 sigue abierto y el nivel se declara como supuesto, no como dato.</t>
        </is>
      </c>
      <c r="M11" s="39" t="inlineStr">
        <is>
          <t>Administrador de producción y ventas</t>
        </is>
      </c>
      <c r="N11" s="40" t="n"/>
      <c r="O11" s="40" t="n">
        <v>4</v>
      </c>
      <c r="P11" s="40" t="n"/>
      <c r="Q11" s="40" t="n">
        <v>4</v>
      </c>
    </row>
    <row r="12">
      <c r="A12" s="35" t="n">
        <v>11</v>
      </c>
      <c r="B12" s="36" t="inlineStr">
        <is>
          <t>Confiabilidad</t>
        </is>
      </c>
      <c r="C12" s="36" t="inlineStr">
        <is>
          <t>¿Se necesita que la información se conserve cuando el dispositivo se apaga por batería agotada a mitad de una captura?</t>
        </is>
      </c>
      <c r="D12" s="36" t="inlineStr">
        <is>
          <t>¿Qué debe conservarse cuando el dispositivo se apaga a mitad de una captura?</t>
        </is>
      </c>
      <c r="E12" s="36" t="inlineStr">
        <is>
          <t>El dispositivo del supervisor de campo</t>
        </is>
      </c>
      <c r="F12" s="36" t="inlineStr">
        <is>
          <t>se apaga por batería agotada a mitad de la captura de una cama</t>
        </is>
      </c>
      <c r="G12" s="36" t="inlineStr">
        <is>
          <t>el almacén local transaccional de la aplicación</t>
        </is>
      </c>
      <c r="H12" s="36" t="inlineStr">
        <is>
          <t>en campo, sin conexión, con el formulario de la cama a medio diligenciar</t>
        </is>
      </c>
      <c r="I12" s="36" t="inlineStr">
        <is>
          <t>El sistema restaura la captura en el punto exacto donde iba, con todos los campos ya digitados, apenas se reabre la aplicación</t>
        </is>
      </c>
      <c r="J12" s="36" t="inlineStr">
        <is>
          <t>cero campos perdidos, restauración automática en 5 segundos o menos tras abrir la aplicación, cero registros corruptos y ninguna acción del usuario más allá de abrir la aplicación</t>
        </is>
      </c>
      <c r="K12" s="36" t="inlineStr">
        <is>
          <t>El dispositivo del supervisor de campo se apaga por batería agotada a mitad de la captura de una cama, sobre el almacén local transaccional de la aplicación, en campo, sin conexión, con el formulario de la cama a medio diligenciar. El sistema restaura la captura en el punto exacto donde iba, con todos los campos ya digitados, apenas se reabre la aplicación, con cero campos perdidos, restauración automática en 5 segundos o menos tras abrir la aplicación, cero registros corruptos y ninguna acción del usuario más allá de abrir la aplicación.</t>
        </is>
      </c>
      <c r="L12" s="36" t="inlineStr">
        <is>
          <t>Se replantea de «que no se pierda» a un escenario con estímulo de fallo concreto, respuesta de recuperación y medidas separadas de pérdida y de tiempo.</t>
        </is>
      </c>
      <c r="M12" s="36" t="inlineStr">
        <is>
          <t>Supervisor de campo (tomador de datos)</t>
        </is>
      </c>
      <c r="N12" s="37" t="n">
        <v>4</v>
      </c>
      <c r="O12" s="37" t="n"/>
      <c r="P12" s="37" t="n"/>
      <c r="Q12" s="37" t="n">
        <v>4</v>
      </c>
    </row>
    <row r="13">
      <c r="A13" s="38" t="n">
        <v>12</v>
      </c>
      <c r="B13" s="39" t="inlineStr">
        <is>
          <t>Capacidad para ser Auditado</t>
        </is>
      </c>
      <c r="C13" s="39" t="inlineStr">
        <is>
          <t>¿Se necesita poder ver la historia completa de una cama desde la siembra hasta la erradicación?</t>
        </is>
      </c>
      <c r="D13" s="39" t="inlineStr">
        <is>
          <t>¿Con qué completitud y en qué tiempo debe reconstruirse la historia de una cama desde la siembra hasta la erradicación?</t>
        </is>
      </c>
      <c r="E13" s="39" t="inlineStr">
        <is>
          <t>Un gerente de producción o un auditor</t>
        </is>
      </c>
      <c r="F13" s="39" t="inlineStr">
        <is>
          <t>solicita la historia completa de una cama, desde su siembra hasta su erradicación</t>
        </is>
      </c>
      <c r="G13" s="39" t="inlineStr">
        <is>
          <t>la bitácora inmutable y la línea de tiempo de eventos de la cama</t>
        </is>
      </c>
      <c r="H13" s="39" t="inlineStr">
        <is>
          <t>en la consulta web, en operación normal, sobre historia de hasta 5 años</t>
        </is>
      </c>
      <c r="I13" s="39" t="inlineStr">
        <is>
          <t>El sistema entrega todos los eventos ordenados —siembra, actividades culturales, bajas, cortes por día, erradicación— con autor, fecha y valor anterior cuando hubo corrección</t>
        </is>
      </c>
      <c r="J13" s="39" t="inlineStr">
        <is>
          <t>100% de eventos con autor y marca de tiempo, cero huecos en la línea de tiempo y respuesta en 5 segundos o menos para camas dentro del horizonte de 5 años en línea</t>
        </is>
      </c>
      <c r="K13" s="39" t="inlineStr">
        <is>
          <t>Un gerente de producción o un auditor solicita la historia completa de una cama, desde su siembra hasta su erradicación, sobre la bitácora inmutable y la línea de tiempo de eventos de la cama, en la consulta web, en operación normal, sobre historia de hasta 5 años. El sistema entrega todos los eventos ordenados —siembra, actividades culturales, bajas, cortes por día, erradicación— con autor, fecha y valor anterior cuando hubo corrección, con 100% de eventos con autor y marca de tiempo, cero huecos en la línea de tiempo y respuesta en 5 segundos o menos para camas dentro del horizonte de 5 años en línea.</t>
        </is>
      </c>
      <c r="L13" s="39" t="inlineStr">
        <is>
          <t>Era una consulta. Se replantea como auditabilidad medida por completitud, atribución y tiempo de respuesta sobre el horizonte que el sistema promete mantener en línea (ver rango 41).</t>
        </is>
      </c>
      <c r="M13" s="39" t="inlineStr">
        <is>
          <t>Administrador de producción y ventas</t>
        </is>
      </c>
      <c r="N13" s="40" t="n"/>
      <c r="O13" s="40" t="n">
        <v>4</v>
      </c>
      <c r="P13" s="40" t="n"/>
      <c r="Q13" s="40" t="n">
        <v>4</v>
      </c>
    </row>
    <row r="14">
      <c r="A14" s="35" t="n">
        <v>13</v>
      </c>
      <c r="B14" s="36" t="inlineStr">
        <is>
          <t>Capacidad para ser Administrado</t>
        </is>
      </c>
      <c r="C14" s="36" t="inlineStr">
        <is>
          <t>¿Se necesita poder crear y dar de baja usuarios sin solicitarlo a quien desarrolló el sistema?</t>
        </is>
      </c>
      <c r="D14" s="36" t="inlineStr">
        <is>
          <t>¿Con qué autonomía y en qué plazo puede la empresa dar de alta o de baja a un usuario sin recurrir al desarrollador?</t>
        </is>
      </c>
      <c r="E14" s="36" t="inlineStr">
        <is>
          <t>Un administrador del sistema de la empresa</t>
        </is>
      </c>
      <c r="F14" s="36" t="inlineStr">
        <is>
          <t>debe crear la cuenta de un empleado que ingresa o inhabilitar la de uno que sale</t>
        </is>
      </c>
      <c r="G14" s="36" t="inlineStr">
        <is>
          <t>el módulo de administración de usuarios y el control de acceso por roles (CN-12)</t>
        </is>
      </c>
      <c r="H14" s="36" t="inlineStr">
        <is>
          <t>en operación normal, desde un computador de la oficina de la finca</t>
        </is>
      </c>
      <c r="I14" s="36" t="inlineStr">
        <is>
          <t>El sistema permite crear o dar de baja la cuenta desde su propia interfaz y el cambio surte efecto sin intervención del equipo de desarrollo</t>
        </is>
      </c>
      <c r="J14" s="36" t="inlineStr">
        <is>
          <t>cero solicitudes al desarrollador, alta o baja completada en 5 minutos o menos y efecto sobre el acceso en un ciclo de sincronización o menos para los dispositivos que están en campo</t>
        </is>
      </c>
      <c r="K14" s="36" t="inlineStr">
        <is>
          <t>Un administrador del sistema de la empresa debe crear la cuenta de un empleado que ingresa o inhabilitar la de uno que sale, sobre el módulo de administración de usuarios y el control de acceso por roles (CN-12), en operación normal, desde un computador de la oficina de la finca. El sistema permite crear o dar de baja la cuenta desde su propia interfaz y el cambio surte efecto sin intervención del equipo de desarrollo, con cero solicitudes al desarrollador, alta o baja completada en 5 minutos o menos y efecto sobre el acceso en un ciclo de sincronización o menos para los dispositivos que están en campo.</t>
        </is>
      </c>
      <c r="L14" s="36" t="inlineStr">
        <is>
          <t>Era un ABM (funcionalidad). Se replantea como administrabilidad: lo que se mide es la autonomía del cliente y el tiempo de efecto, no que exista la pantalla.</t>
        </is>
      </c>
      <c r="M14" s="36" t="inlineStr">
        <is>
          <t>Administrador del sistema</t>
        </is>
      </c>
      <c r="N14" s="37" t="n"/>
      <c r="O14" s="37" t="n"/>
      <c r="P14" s="37" t="n">
        <v>4</v>
      </c>
      <c r="Q14" s="37" t="n">
        <v>4</v>
      </c>
    </row>
    <row r="15">
      <c r="A15" s="38" t="n">
        <v>14</v>
      </c>
      <c r="B15" s="39" t="inlineStr">
        <is>
          <t>Capacidad para ser Administrado</t>
        </is>
      </c>
      <c r="C15" s="39" t="inlineStr">
        <is>
          <t>¿Se necesita que la administración del sistema se pueda hacer desde un computador de la finca, sin herramientas técnicas especiales?</t>
        </is>
      </c>
      <c r="D15" s="39" t="inlineStr">
        <is>
          <t>¿Qué nivel técnico y qué herramientas debe exigir la administración rutinaria del sistema?</t>
        </is>
      </c>
      <c r="E15" s="39" t="inlineStr">
        <is>
          <t>El administrador del sistema de la finca (el ingeniero de sistemas)</t>
        </is>
      </c>
      <c r="F15" s="39" t="inlineStr">
        <is>
          <t>necesita ejecutar una tarea rutinaria de administración: parámetros, usuarios, permisos o sincronización</t>
        </is>
      </c>
      <c r="G15" s="39" t="inlineStr">
        <is>
          <t>la consola web de administración</t>
        </is>
      </c>
      <c r="H15" s="39" t="inlineStr">
        <is>
          <t>desde un computador de oficina de la finca, con un navegador estándar y sin acceso a línea de comandos ni a la base de datos</t>
        </is>
      </c>
      <c r="I15" s="39" t="inlineStr">
        <is>
          <t>El sistema resuelve todas las tareas rutinarias desde el navegador, sin instalar herramientas ni ejecutar scripts</t>
        </is>
      </c>
      <c r="J15" s="39" t="inlineStr">
        <is>
          <t>100% de las tareas rutinarias disponibles en la consola, cero tareas que exijan línea de comandos o acceso directo a la base de datos y cero instalaciones adicionales</t>
        </is>
      </c>
      <c r="K15" s="39" t="inlineStr">
        <is>
          <t>El administrador del sistema de la finca (el ingeniero de sistemas) necesita ejecutar una tarea rutinaria de administración: parámetros, usuarios, permisos o sincronización, sobre la consola web de administración, desde un computador de oficina de la finca, con un navegador estándar y sin acceso a línea de comandos ni a la base de datos. El sistema resuelve todas las tareas rutinarias desde el navegador, sin instalar herramientas ni ejecutar scripts, con 100% de las tareas rutinarias disponibles en la consola, cero tareas que exijan línea de comandos o acceso directo a la base de datos y cero instalaciones adicionales.</t>
        </is>
      </c>
      <c r="L15" s="39" t="inlineStr">
        <is>
          <t>Se replantea de «poder administrar» a un escenario con entorno explícito (navegador, sin herramientas técnicas) y cobertura de tareas medible; es la condición de que la finca se sostenga sola (ver rango 53).</t>
        </is>
      </c>
      <c r="M15" s="39" t="inlineStr">
        <is>
          <t>Administrador del sistema</t>
        </is>
      </c>
      <c r="N15" s="40" t="n"/>
      <c r="O15" s="40" t="n"/>
      <c r="P15" s="40" t="n">
        <v>4</v>
      </c>
      <c r="Q15" s="40" t="n">
        <v>4</v>
      </c>
    </row>
    <row r="16">
      <c r="A16" s="35" t="n">
        <v>15</v>
      </c>
      <c r="B16" s="36" t="inlineStr">
        <is>
          <t>Experiencia de Usuario</t>
        </is>
      </c>
      <c r="C16" s="36" t="inlineStr">
        <is>
          <t>¿Se necesita que la pantalla sea legible bajo el sol directo?</t>
        </is>
      </c>
      <c r="D16" s="36" t="inlineStr">
        <is>
          <t>¿Bajo qué condiciones de luz debe seguir siendo legible y operable la pantalla de captura?</t>
        </is>
      </c>
      <c r="E16" s="36" t="inlineStr">
        <is>
          <t>Un supervisor de campo</t>
        </is>
      </c>
      <c r="F16" s="36" t="inlineStr">
        <is>
          <t>captura al aire libre al mediodía, con sol directo sobre la pantalla</t>
        </is>
      </c>
      <c r="G16" s="36" t="inlineStr">
        <is>
          <t>la interfaz de la aplicación de captura: contraste, tamaño tipográfico y áreas táctiles</t>
        </is>
      </c>
      <c r="H16" s="36" t="inlineStr">
        <is>
          <t>en campo abierto, con sol directo, de pie y con las manos ocupadas</t>
        </is>
      </c>
      <c r="I16" s="36" t="inlineStr">
        <is>
          <t>El sistema se mantiene legible y operable sin que el usuario tenga que buscar sombra ni cambiar los ajustes del dispositivo</t>
        </is>
      </c>
      <c r="J16" s="36" t="inlineStr">
        <is>
          <t>contraste mínimo de 7:1 en texto y controles (WCAG AAA), tipografía de 16 sp o más, áreas táctiles de 48 dp o más y cero abandonos de captura por ilegibilidad en prueba de campo</t>
        </is>
      </c>
      <c r="K16" s="36" t="inlineStr">
        <is>
          <t>Un supervisor de campo captura al aire libre al mediodía, con sol directo sobre la pantalla, sobre la interfaz de la aplicación de captura: contraste, tamaño tipográfico y áreas táctiles, en campo abierto, con sol directo, de pie y con las manos ocupadas. El sistema se mantiene legible y operable sin que el usuario tenga que buscar sombra ni cambiar los ajustes del dispositivo, con contraste mínimo de 7:1 en texto y controles (WCAG AAA), tipografía de 16 sp o más, áreas táctiles de 48 dp o más y cero abandonos de captura por ilegibilidad en prueba de campo.</t>
        </is>
      </c>
      <c r="L16" s="36" t="inlineStr">
        <is>
          <t>Era una preferencia. Se replantea como escenario de experiencia de usuario con el entorno físico como estímulo y medidas objetivas de contraste y ergonomía en lugar de «que se vea bien».</t>
        </is>
      </c>
      <c r="M16" s="36" t="inlineStr">
        <is>
          <t>Supervisor de campo (tomador de datos)</t>
        </is>
      </c>
      <c r="N16" s="37" t="n">
        <v>4</v>
      </c>
      <c r="O16" s="37" t="n"/>
      <c r="P16" s="37" t="n"/>
      <c r="Q16" s="37" t="n">
        <v>4</v>
      </c>
    </row>
    <row r="17">
      <c r="A17" s="38" t="n">
        <v>16</v>
      </c>
      <c r="B17" s="39" t="inlineStr">
        <is>
          <t>Portabilidad</t>
        </is>
      </c>
      <c r="C17" s="39" t="inlineStr">
        <is>
          <t>¿Se necesita que el sistema pueda instalarse en servidores de la propia empresa y no solo en la nube?</t>
        </is>
      </c>
      <c r="D17" s="39" t="inlineStr">
        <is>
          <t>¿Qué costo de adaptación debe tener desplegar la plataforma en la infraestructura de la propia empresa en vez de en la nube?</t>
        </is>
      </c>
      <c r="E17" s="39" t="inlineStr">
        <is>
          <t>Una empresa cliente con exigencia de secreto empresarial, a través de su administrador del sistema</t>
        </is>
      </c>
      <c r="F17" s="39" t="inlineStr">
        <is>
          <t>exige que la información resida en su propia infraestructura y no en la nube del proveedor</t>
        </is>
      </c>
      <c r="G17" s="39" t="inlineStr">
        <is>
          <t>el empaquetado de despliegue de la plataforma y de la base de datos por empresa (DEC-11)</t>
        </is>
      </c>
      <c r="H17" s="39" t="inlineStr">
        <is>
          <t>en una instalación nueva sobre servidores de la empresa</t>
        </is>
      </c>
      <c r="I17" s="39" t="inlineStr">
        <is>
          <t>El sistema se despliega en la infraestructura del cliente con el mismo esquema y los mismos procedimientos que en la nube, sin cambios de código</t>
        </is>
      </c>
      <c r="J17" s="39" t="inlineStr">
        <is>
          <t>cero cambios de código entre nube y servidores propios, despliegue completo en 1 día o menos, 100% de funciones equivalentes y procedimiento de respaldo y restauración idéntico</t>
        </is>
      </c>
      <c r="K17" s="39" t="inlineStr">
        <is>
          <t>Una empresa cliente con exigencia de secreto empresarial, a través de su administrador del sistema, exige que la información resida en su propia infraestructura y no en la nube del proveedor, sobre el empaquetado de despliegue de la plataforma y de la base de datos por empresa (DEC-11), en una instalación nueva sobre servidores de la empresa. El sistema se despliega en la infraestructura del cliente con el mismo esquema y los mismos procedimientos que en la nube, sin cambios de código, con cero cambios de código entre nube y servidores propios, despliegue completo en 1 día o menos, 100% de funciones equivalentes y procedimiento de respaldo y restauración idéntico.</t>
        </is>
      </c>
      <c r="L17" s="39" t="inlineStr">
        <is>
          <t>Único caso con desacuerdo entre arquitectos (Juan NO, Jerónimo SÍ; cliente SÍ). Se replantea como portabilidad con costo de adaptación medible y se deja marcado como punto a confirmar: choca con el modelo SaaS operado de DEC-01.</t>
        </is>
      </c>
      <c r="M17" s="39" t="inlineStr">
        <is>
          <t>Administrador del sistema</t>
        </is>
      </c>
      <c r="N17" s="40" t="n"/>
      <c r="O17" s="40" t="n"/>
      <c r="P17" s="40" t="n">
        <v>4</v>
      </c>
      <c r="Q17" s="40" t="n">
        <v>4</v>
      </c>
    </row>
    <row r="18">
      <c r="A18" s="35" t="n">
        <v>17</v>
      </c>
      <c r="B18" s="36" t="inlineStr">
        <is>
          <t>Confiabilidad</t>
        </is>
      </c>
      <c r="C18" s="36" t="inlineStr">
        <is>
          <t>¿Se necesita que el sistema bloquee la captura cuando detecta que la fecha y la hora del dispositivo fueron alteradas?</t>
        </is>
      </c>
      <c r="D18" s="36" t="inlineStr">
        <is>
          <t>¿Qué desviación de reloj tolera el sistema antes de dejar de aceptar capturas?</t>
        </is>
      </c>
      <c r="E18" s="36" t="inlineStr">
        <is>
          <t>El reloj del dispositivo de campo</t>
        </is>
      </c>
      <c r="F18" s="36" t="inlineStr">
        <is>
          <t>se desvía o es modificado manualmente mientras el dispositivo está fuera de línea</t>
        </is>
      </c>
      <c r="G18" s="36" t="inlineStr">
        <is>
          <t>la marca de tiempo confiable de la captura offline (CN-25)</t>
        </is>
      </c>
      <c r="H18" s="36" t="inlineStr">
        <is>
          <t>en campo, sin conexión, entre dos sincronizaciones</t>
        </is>
      </c>
      <c r="I18" s="36" t="inlineStr">
        <is>
          <t>El sistema detecta la desviación, bloquea nuevas capturas y exige resincronizar el reloj; los registros ya tomados conservan la marca con la que se hicieron</t>
        </is>
      </c>
      <c r="J18" s="36" t="inlineStr">
        <is>
          <t>desviación tolerada de 5 minutos o menos, 100% de registros con marca de tiempo verificable, cero registros con fecha alterada aceptados en el repositorio y bloqueo notificado en 1 segundo o menos</t>
        </is>
      </c>
      <c r="K18" s="36" t="inlineStr">
        <is>
          <t>El reloj del dispositivo de campo se desvía o es modificado manualmente mientras el dispositivo está fuera de línea, sobre la marca de tiempo confiable de la captura offline (CN-25), en campo, sin conexión, entre dos sincronizaciones. El sistema detecta la desviación, bloquea nuevas capturas y exige resincronizar el reloj; los registros ya tomados conservan la marca con la que se hicieron, con desviación tolerada de 5 minutos o menos, 100% de registros con marca de tiempo verificable, cero registros con fecha alterada aceptados en el repositorio y bloqueo notificado en 1 segundo o menos.</t>
        </is>
      </c>
      <c r="L18" s="36" t="inlineStr">
        <is>
          <t>Era una funcionalidad de bloqueo. Se replantea como confiabilidad del dato temporal, que es lo que sostiene el cálculo de ciclos: el ciclo se corre hasta 15 días (H-13) y un reloj desfasado se confunde con un corrimiento real.</t>
        </is>
      </c>
      <c r="M18" s="36" t="inlineStr">
        <is>
          <t>Supervisor de campo (tomador de datos) / Administrador del sistema</t>
        </is>
      </c>
      <c r="N18" s="37" t="n">
        <v>1</v>
      </c>
      <c r="O18" s="37" t="n"/>
      <c r="P18" s="37" t="n">
        <v>2</v>
      </c>
      <c r="Q18" s="37" t="n">
        <v>3</v>
      </c>
    </row>
    <row r="19">
      <c r="A19" s="38" t="n">
        <v>18</v>
      </c>
      <c r="B19" s="39" t="inlineStr">
        <is>
          <t>Confiabilidad</t>
        </is>
      </c>
      <c r="C19" s="39" t="inlineStr">
        <is>
          <t>¿Se necesita que la información se conserve cuando la aplicación se cierra de manera inesperada?</t>
        </is>
      </c>
      <c r="D19" s="39" t="inlineStr">
        <is>
          <t>¿Qué se conserva cuando la aplicación se cierra sin aviso a mitad de la captura?</t>
        </is>
      </c>
      <c r="E19" s="39" t="inlineStr">
        <is>
          <t>El sistema operativo del dispositivo</t>
        </is>
      </c>
      <c r="F19" s="39" t="inlineStr">
        <is>
          <t>cierra la aplicación de forma inesperada durante la captura de una cama</t>
        </is>
      </c>
      <c r="G19" s="39" t="inlineStr">
        <is>
          <t>el almacén local transaccional y el estado del formulario</t>
        </is>
      </c>
      <c r="H19" s="39" t="inlineStr">
        <is>
          <t>en campo, sin conexión, a mitad de captura</t>
        </is>
      </c>
      <c r="I19" s="39" t="inlineStr">
        <is>
          <t>El sistema recupera el borrador íntegro al reabrir y permite continuar sin volver a digitar nada</t>
        </is>
      </c>
      <c r="J19" s="39" t="inlineStr">
        <is>
          <t>cero campos perdidos, recuperación automática en 5 segundos o menos y cero registros en estado inconsistente</t>
        </is>
      </c>
      <c r="K19" s="39" t="inlineStr">
        <is>
          <t>El sistema operativo del dispositivo cierra la aplicación de forma inesperada durante la captura de una cama, sobre el almacén local transaccional y el estado del formulario, en campo, sin conexión, a mitad de captura. El sistema recupera el borrador íntegro al reabrir y permite continuar sin volver a digitar nada, con cero campos perdidos, recuperación automática en 5 segundos o menos y cero registros en estado inconsistente.</t>
        </is>
      </c>
      <c r="L19" s="39" t="inlineStr">
        <is>
          <t>Mismo patrón que el rango 11 pero con otro estímulo (cierre del sistema operativo, no agotamiento de batería). Se mantienen separados porque los mecanismos de recuperación no son los mismos.</t>
        </is>
      </c>
      <c r="M19" s="39" t="inlineStr">
        <is>
          <t>Supervisor de campo (tomador de datos)</t>
        </is>
      </c>
      <c r="N19" s="40" t="n">
        <v>3</v>
      </c>
      <c r="O19" s="40" t="n"/>
      <c r="P19" s="40" t="n"/>
      <c r="Q19" s="40" t="n">
        <v>3</v>
      </c>
    </row>
    <row r="20">
      <c r="A20" s="35" t="n">
        <v>19</v>
      </c>
      <c r="B20" s="36" t="inlineStr">
        <is>
          <t>Confiabilidad</t>
        </is>
      </c>
      <c r="C20" s="36" t="inlineStr">
        <is>
          <t>¿Se necesita que exista una prueba periódica de que las copias de respaldo efectivamente sirven?</t>
        </is>
      </c>
      <c r="D20" s="36" t="inlineStr">
        <is>
          <t>¿Con qué frecuencia debe demostrarse que los respaldos efectivamente se pueden restaurar?</t>
        </is>
      </c>
      <c r="E20" s="36" t="inlineStr">
        <is>
          <t>El proceso programado de verificación de respaldos</t>
        </is>
      </c>
      <c r="F20" s="36" t="inlineStr">
        <is>
          <t>alcanza el periodo de verificación establecido</t>
        </is>
      </c>
      <c r="G20" s="36" t="inlineStr">
        <is>
          <t>los respaldos cifrados y un entorno aislado de restauración de prueba</t>
        </is>
      </c>
      <c r="H20" s="36" t="inlineStr">
        <is>
          <t>en operación normal, dentro de la ventana de baja carga</t>
        </is>
      </c>
      <c r="I20" s="36" t="inlineStr">
        <is>
          <t>El sistema restaura automáticamente un respaldo en un entorno aislado, verifica su integridad y reporta el resultado al administrador</t>
        </is>
      </c>
      <c r="J20" s="36" t="inlineStr">
        <is>
          <t>al menos 1 restauración de prueba verificada al mes por empresa, 100% de resultados reportados, restauración completa en 1 día o menos (CN-15) y cero respaldos no verificables sin alerta</t>
        </is>
      </c>
      <c r="K20" s="36" t="inlineStr">
        <is>
          <t>El proceso programado de verificación de respaldos alcanza el periodo de verificación establecido, sobre los respaldos cifrados y un entorno aislado de restauración de prueba, en operación normal, dentro de la ventana de baja carga. El sistema restaura automáticamente un respaldo en un entorno aislado, verifica su integridad y reporta el resultado al administrador, con al menos 1 restauración de prueba verificada al mes por empresa, 100% de resultados reportados, restauración completa en 1 día o menos (CN-15) y cero respaldos no verificables sin alerta.</t>
        </is>
      </c>
      <c r="L20" s="36" t="inlineStr">
        <is>
          <t>El cliente respondió NO y ambos arquitectos SÍ. Se conserva porque es lo único que hace verificable el tiempo de restauración de 1 día que ya está comprometido en DEC-12; queda marcado como decisión a confirmar con el cliente.</t>
        </is>
      </c>
      <c r="M20" s="36" t="inlineStr">
        <is>
          <t>Administrador del sistema</t>
        </is>
      </c>
      <c r="N20" s="37" t="n"/>
      <c r="O20" s="37" t="n"/>
      <c r="P20" s="37" t="n">
        <v>3</v>
      </c>
      <c r="Q20" s="37" t="n">
        <v>3</v>
      </c>
    </row>
    <row r="21">
      <c r="A21" s="38" t="n">
        <v>20</v>
      </c>
      <c r="B21" s="39" t="inlineStr">
        <is>
          <t>Disponibilidad</t>
        </is>
      </c>
      <c r="C21" s="39" t="inlineStr">
        <is>
          <t>¿Se necesita que el sistema avise cuando un dispositivo lleva demasiado tiempo sin sincronizar?</t>
        </is>
      </c>
      <c r="D21" s="39" t="inlineStr">
        <is>
          <t>¿A partir de cuánto tiempo sin sincronizar debe el sistema alertar sobre un dispositivo rezagado?</t>
        </is>
      </c>
      <c r="E21" s="39" t="inlineStr">
        <is>
          <t>Un dispositivo de campo con registros pendientes</t>
        </is>
      </c>
      <c r="F21" s="39" t="inlineStr">
        <is>
          <t>acumula registros sin sincronizar por encima del umbral de tiempo definido</t>
        </is>
      </c>
      <c r="G21" s="39" t="inlineStr">
        <is>
          <t>el indicador de estado de sincronización en la aplicación y el tablero de dispositivos de la consola</t>
        </is>
      </c>
      <c r="H21" s="39" t="inlineStr">
        <is>
          <t>en operación normal, con dispositivos en campo y cobertura intermitente</t>
        </is>
      </c>
      <c r="I21" s="39" t="inlineStr">
        <is>
          <t>El sistema avisa al supervisor en el propio dispositivo y marca el dispositivo como rezagado en el tablero del administrador</t>
        </is>
      </c>
      <c r="J21" s="39" t="inlineStr">
        <is>
          <t>alerta al superar 1 jornada sin sincronizar, 100% de dispositivos rezagados visibles en el tablero, cero dispositivos rezagados sin alerta y alerta visible en 1 minuto o menos desde que se cruza el umbral</t>
        </is>
      </c>
      <c r="K21" s="39" t="inlineStr">
        <is>
          <t>Un dispositivo de campo con registros pendientes acumula registros sin sincronizar por encima del umbral de tiempo definido, sobre el indicador de estado de sincronización en la aplicación y el tablero de dispositivos de la consola, en operación normal, con dispositivos en campo y cobertura intermitente. El sistema avisa al supervisor en el propio dispositivo y marca el dispositivo como rezagado en el tablero del administrador, con alerta al superar 1 jornada sin sincronizar, 100% de dispositivos rezagados visibles en el tablero, cero dispositivos rezagados sin alerta y alerta visible en 1 minuto o menos desde que se cruza el umbral.</t>
        </is>
      </c>
      <c r="L21" s="39" t="inlineStr">
        <is>
          <t>Era una notificación. Se replantea como disponibilidad del dato —no del sistema— con umbral expresado en jornadas, que es la unidad real de trabajo en campo.</t>
        </is>
      </c>
      <c r="M21" s="39" t="inlineStr">
        <is>
          <t>Supervisor de campo (tomador de datos)</t>
        </is>
      </c>
      <c r="N21" s="40" t="n">
        <v>3</v>
      </c>
      <c r="O21" s="40" t="n"/>
      <c r="P21" s="40" t="n"/>
      <c r="Q21" s="40" t="n">
        <v>3</v>
      </c>
    </row>
    <row r="22">
      <c r="A22" s="35" t="n">
        <v>21</v>
      </c>
      <c r="B22" s="36" t="inlineStr">
        <is>
          <t>Capacidad</t>
        </is>
      </c>
      <c r="C22" s="36" t="inlineStr">
        <is>
          <t>¿Se necesita prever un crecimiento del volumen de información año tras año sin cambiar de sistema?</t>
        </is>
      </c>
      <c r="D22" s="36" t="inlineStr">
        <is>
          <t>¿Cuánto puede crecer el volumen de información año tras año sin cambiar de sistema ni degradar la consulta?</t>
        </is>
      </c>
      <c r="E22" s="36" t="inlineStr">
        <is>
          <t>El crecimiento natural del histórico de la empresa</t>
        </is>
      </c>
      <c r="F22" s="36" t="inlineStr">
        <is>
          <t>suma un año más de registros sobre 1.525 camas con corte diario</t>
        </is>
      </c>
      <c r="G22" s="36" t="inlineStr">
        <is>
          <t>el modelo de datos y el dimensionamiento de la base de datos de la empresa</t>
        </is>
      </c>
      <c r="H22" s="36" t="inlineStr">
        <is>
          <t>en operación normal, en el quinto año de uso continuo</t>
        </is>
      </c>
      <c r="I22" s="36" t="inlineStr">
        <is>
          <t>El sistema sostiene consultas y proyecciones sin cambiar de motor ni de arquitectura, aplicando archivado por antigüedad</t>
        </is>
      </c>
      <c r="J22" s="36" t="inlineStr">
        <is>
          <t>tiempos de consulta estables dentro de un ±20% entre el año 1 y el año 5, 5 años consultables en línea, cero migraciones de plataforma requeridas y costo por empresa acotado</t>
        </is>
      </c>
      <c r="K22" s="36" t="inlineStr">
        <is>
          <t>El crecimiento natural del histórico de la empresa suma un año más de registros sobre 1.525 camas con corte diario, sobre el modelo de datos y el dimensionamiento de la base de datos de la empresa, en operación normal, en el quinto año de uso continuo. El sistema sostiene consultas y proyecciones sin cambiar de motor ni de arquitectura, aplicando archivado por antigüedad, con tiempos de consulta estables dentro de un ±20% entre el año 1 y el año 5, 5 años consultables en línea, cero migraciones de plataforma requeridas y costo por empresa acotado.</t>
        </is>
      </c>
      <c r="L22" s="36" t="inlineStr">
        <is>
          <t>Era una previsión. Se replantea como capacidad con horizonte explícito, degradación tolerada y la exigencia de que no haya cambio de plataforma.</t>
        </is>
      </c>
      <c r="M22" s="36" t="inlineStr">
        <is>
          <t>Administrador de producción y ventas</t>
        </is>
      </c>
      <c r="N22" s="37" t="n"/>
      <c r="O22" s="37" t="n">
        <v>3</v>
      </c>
      <c r="P22" s="37" t="n"/>
      <c r="Q22" s="37" t="n">
        <v>3</v>
      </c>
    </row>
    <row r="23">
      <c r="A23" s="38" t="n">
        <v>22</v>
      </c>
      <c r="B23" s="39" t="inlineStr">
        <is>
          <t>Capacidad para ser Administrado</t>
        </is>
      </c>
      <c r="C23" s="39" t="inlineStr">
        <is>
          <t>¿Se necesita poder cambiar los permisos de un usuario de manera inmediata?</t>
        </is>
      </c>
      <c r="D23" s="39" t="inlineStr">
        <is>
          <t>¿En cuánto tiempo surte efecto la revocación de un permiso en cada canal, incluido un dispositivo sin conexión?</t>
        </is>
      </c>
      <c r="E23" s="39" t="inlineStr">
        <is>
          <t>Un administrador del sistema de la empresa</t>
        </is>
      </c>
      <c r="F23" s="39" t="inlineStr">
        <is>
          <t>revoca o amplía un permiso tras un cambio de cargo o la salida de una persona</t>
        </is>
      </c>
      <c r="G23" s="39" t="inlineStr">
        <is>
          <t>el control de acceso por roles con evaluación local en el dispositivo (CN-12, CN-23)</t>
        </is>
      </c>
      <c r="H23" s="39" t="inlineStr">
        <is>
          <t>con el usuario con sesión abierta y su dispositivo en campo, posiblemente sin conexión</t>
        </is>
      </c>
      <c r="I23" s="39" t="inlineStr">
        <is>
          <t>El sistema aplica el cambio de inmediato en los canales conectados y en el dispositivo al primer contacto con la red; una revocación crítica invalida la sesión offline al expirar su ventana</t>
        </is>
      </c>
      <c r="J23" s="39" t="inlineStr">
        <is>
          <t>efecto en 1 minuto o menos en canales conectados, un ciclo de sincronización o menos en dispositivos sin conexión, ventana de sesión offline dentro del límite que se defina en BR-N5 y cero accesos con permisos ya revocados después del efecto</t>
        </is>
      </c>
      <c r="K23" s="39" t="inlineStr">
        <is>
          <t>Un administrador del sistema de la empresa revoca o amplía un permiso tras un cambio de cargo o la salida de una persona, sobre el control de acceso por roles con evaluación local en el dispositivo (CN-12, CN-23), con el usuario con sesión abierta y su dispositivo en campo, posiblemente sin conexión. El sistema aplica el cambio de inmediato en los canales conectados y en el dispositivo al primer contacto con la red; una revocación crítica invalida la sesión offline al expirar su ventana, con efecto en 1 minuto o menos en canales conectados, un ciclo de sincronización o menos en dispositivos sin conexión, ventana de sesión offline dentro del límite que se defina en BR-N5 y cero accesos con permisos ya revocados después del efecto.</t>
        </is>
      </c>
      <c r="L23" s="39" t="inlineStr">
        <is>
          <t>Era una funcionalidad de permisos. Se replantea sobre la tensión real entre seguridad y offline (RF-C16), con tiempos distintos por canal; la duración de la ventana offline sigue abierta en BR-N5.</t>
        </is>
      </c>
      <c r="M23" s="39" t="inlineStr">
        <is>
          <t>Administrador del sistema</t>
        </is>
      </c>
      <c r="N23" s="40" t="n"/>
      <c r="O23" s="40" t="n"/>
      <c r="P23" s="40" t="n">
        <v>3</v>
      </c>
      <c r="Q23" s="40" t="n">
        <v>3</v>
      </c>
    </row>
    <row r="24">
      <c r="A24" s="35" t="n">
        <v>23</v>
      </c>
      <c r="B24" s="36" t="inlineStr">
        <is>
          <t>Capacidad para ser Administrado</t>
        </is>
      </c>
      <c r="C24" s="36" t="inlineStr">
        <is>
          <t>¿Se necesita poder crear variedades nuevas sin desarrollo adicional?</t>
        </is>
      </c>
      <c r="D24" s="36" t="inlineStr">
        <is>
          <t>¿Qué debe costar incorporar una variedad nueva al catálogo y cuánto tarda en estar disponible en campo?</t>
        </is>
      </c>
      <c r="E24" s="36" t="inlineStr">
        <is>
          <t>Un administrador del sistema, con la definición del ingeniero agrónomo</t>
        </is>
      </c>
      <c r="F24" s="36" t="inlineStr">
        <is>
          <t>da de alta una variedad nueva con su densidad, sus días a corte y su duración de corte</t>
        </is>
      </c>
      <c r="G24" s="36" t="inlineStr">
        <is>
          <t>el catálogo de variedades como dato versionado</t>
        </is>
      </c>
      <c r="H24" s="36" t="inlineStr">
        <is>
          <t>en operación normal, con los dispositivos ya en campo</t>
        </is>
      </c>
      <c r="I24" s="36" t="inlineStr">
        <is>
          <t>El sistema deja la variedad disponible para captura y proyección sin desplegar una versión de la aplicación, y la propaga a los dispositivos en la siguiente sincronización</t>
        </is>
      </c>
      <c r="J24" s="36" t="inlineStr">
        <is>
          <t>cero despliegues de aplicación, alta completada en 10 minutos o menos, disponible en los dispositivos en un ciclo de sincronización o menos y cero proyecciones históricas alteradas</t>
        </is>
      </c>
      <c r="K24" s="36" t="inlineStr">
        <is>
          <t>Un administrador del sistema, con la definición del ingeniero agrónomo, da de alta una variedad nueva con su densidad, sus días a corte y su duración de corte, sobre el catálogo de variedades como dato versionado, en operación normal, con los dispositivos ya en campo. El sistema deja la variedad disponible para captura y proyección sin desplegar una versión de la aplicación, y la propaga a los dispositivos en la siguiente sincronización, con cero despliegues de aplicación, alta completada en 10 minutos o menos, disponible en los dispositivos en un ciclo de sincronización o menos y cero proyecciones históricas alteradas.</t>
        </is>
      </c>
      <c r="L24" s="36" t="inlineStr">
        <is>
          <t>Se replantea de «poder crear variedades» a un escenario de administrabilidad: lo medible es la ausencia de desarrollo y el tiempo de propagación, no la existencia del formulario.</t>
        </is>
      </c>
      <c r="M24" s="36" t="inlineStr">
        <is>
          <t>Administrador de producción y ventas</t>
        </is>
      </c>
      <c r="N24" s="37" t="n"/>
      <c r="O24" s="37" t="n">
        <v>3</v>
      </c>
      <c r="P24" s="37" t="n"/>
      <c r="Q24" s="37" t="n">
        <v>3</v>
      </c>
    </row>
    <row r="25">
      <c r="A25" s="38" t="n">
        <v>24</v>
      </c>
      <c r="B25" s="39" t="inlineStr">
        <is>
          <t>Capacidad para ser Administrado</t>
        </is>
      </c>
      <c r="C25" s="39" t="inlineStr">
        <is>
          <t>¿Se necesita poder cambiar la densidad de siembra o los parámetros de cálculo sin desarrollo adicional?</t>
        </is>
      </c>
      <c r="D25" s="39" t="inlineStr">
        <is>
          <t>¿Qué debe costar recalibrar un parámetro del motor y qué no puede cambiar cuando se recalibra?</t>
        </is>
      </c>
      <c r="E25" s="39" t="inlineStr">
        <is>
          <t>Un administrador del sistema, con el valor aprobado por el ingeniero agrónomo</t>
        </is>
      </c>
      <c r="F25" s="39" t="inlineStr">
        <is>
          <t>recalibra la densidad de siembra o el porcentaje de productividad esperada de una variedad</t>
        </is>
      </c>
      <c r="G25" s="39" t="inlineStr">
        <is>
          <t>el catálogo de parámetros del motor de proyección, versionado (CN-27)</t>
        </is>
      </c>
      <c r="H25" s="39" t="inlineStr">
        <is>
          <t>en operación normal, con proyecciones ya emitidas y comparadas contra el corte real</t>
        </is>
      </c>
      <c r="I25" s="39" t="inlineStr">
        <is>
          <t>El sistema aplica el valor nuevo a los cálculos siguientes, lo deja fechado y no reescribe ninguna proyección ya emitida</t>
        </is>
      </c>
      <c r="J25" s="39" t="inlineStr">
        <is>
          <t>cero despliegues de aplicación, cambio efectivo en el siguiente recálculo (1 semana o menos, o bajo demanda), 100% de valores anteriores conservados y cero proyecciones históricas modificadas</t>
        </is>
      </c>
      <c r="K25" s="39" t="inlineStr">
        <is>
          <t>Un administrador del sistema, con el valor aprobado por el ingeniero agrónomo, recalibra la densidad de siembra o el porcentaje de productividad esperada de una variedad, sobre el catálogo de parámetros del motor de proyección, versionado (CN-27), en operación normal, con proyecciones ya emitidas y comparadas contra el corte real. El sistema aplica el valor nuevo a los cálculos siguientes, lo deja fechado y no reescribe ninguna proyección ya emitida, con cero despliegues de aplicación, cambio efectivo en el siguiente recálculo (1 semana o menos, o bajo demanda), 100% de valores anteriores conservados y cero proyecciones históricas modificadas.</t>
        </is>
      </c>
      <c r="L25" s="39" t="inlineStr">
        <is>
          <t>Era parametrización (funcionalidad). Se replantea como confiabilidad del histórico frente al cambio de parámetros: la medida está en lo que NO debe cambiar.</t>
        </is>
      </c>
      <c r="M25" s="39" t="inlineStr">
        <is>
          <t>Administrador de producción y ventas</t>
        </is>
      </c>
      <c r="N25" s="40" t="n"/>
      <c r="O25" s="40" t="n">
        <v>3</v>
      </c>
      <c r="P25" s="40" t="n"/>
      <c r="Q25" s="40" t="n">
        <v>3</v>
      </c>
    </row>
    <row r="26">
      <c r="A26" s="35" t="n">
        <v>25</v>
      </c>
      <c r="B26" s="36" t="inlineStr">
        <is>
          <t>Capacidad para ser Administrado</t>
        </is>
      </c>
      <c r="C26" s="36" t="inlineStr">
        <is>
          <t>¿Se necesita poder actualizar la aplicación en todos los dispositivos sin recogerlos uno por uno?</t>
        </is>
      </c>
      <c r="D26" s="36" t="inlineStr">
        <is>
          <t>¿Con qué cobertura y en qué plazo se actualiza la aplicación en los dispositivos sin recogerlos?</t>
        </is>
      </c>
      <c r="E26" s="36" t="inlineStr">
        <is>
          <t>El equipo de plataforma</t>
        </is>
      </c>
      <c r="F26" s="36" t="inlineStr">
        <is>
          <t>publica una versión nueva de la aplicación de captura</t>
        </is>
      </c>
      <c r="G26" s="36" t="inlineStr">
        <is>
          <t>el mecanismo de distribución y actualización de la aplicación móvil</t>
        </is>
      </c>
      <c r="H26" s="36" t="inlineStr">
        <is>
          <t>con dispositivos personales del personal de campo (CN-21) y conectividad intermitente</t>
        </is>
      </c>
      <c r="I26" s="36" t="inlineStr">
        <is>
          <t>El sistema actualiza los dispositivos al conectarse, sin recogerlos ni intervenirlos, y conserva los registros pendientes durante la actualización</t>
        </is>
      </c>
      <c r="J26" s="36" t="inlineStr">
        <is>
          <t>95% o más de dispositivos actualizados en 1 semana o menos, cero registros pendientes perdidos durante la actualización y cero dispositivos que requieran intervención presencial</t>
        </is>
      </c>
      <c r="K26" s="36" t="inlineStr">
        <is>
          <t>El equipo de plataforma publica una versión nueva de la aplicación de captura, sobre el mecanismo de distribución y actualización de la aplicación móvil, con dispositivos personales del personal de campo (CN-21) y conectividad intermitente. El sistema actualiza los dispositivos al conectarse, sin recogerlos ni intervenirlos, y conserva los registros pendientes durante la actualización, con 95% o más de dispositivos actualizados en 1 semana o menos, cero registros pendientes perdidos durante la actualización y cero dispositivos que requieran intervención presencial.</t>
        </is>
      </c>
      <c r="L26" s="36" t="inlineStr">
        <is>
          <t>Era una tarea operativa. Se replantea con cobertura, plazo y una garantía explícita de no pérdida, porque el dispositivo es del operario y no hay presupuesto de hardware (CN-21).</t>
        </is>
      </c>
      <c r="M26" s="36" t="inlineStr">
        <is>
          <t>Administrador del sistema</t>
        </is>
      </c>
      <c r="N26" s="37" t="n"/>
      <c r="O26" s="37" t="n"/>
      <c r="P26" s="37" t="n">
        <v>3</v>
      </c>
      <c r="Q26" s="37" t="n">
        <v>3</v>
      </c>
    </row>
    <row r="27">
      <c r="A27" s="38" t="n">
        <v>26</v>
      </c>
      <c r="B27" s="39" t="inlineStr">
        <is>
          <t>Experiencia de Usuario</t>
        </is>
      </c>
      <c r="C27" s="39" t="inlineStr">
        <is>
          <t>¿Se necesita reducir al mínimo la cantidad de toques necesarios para registrar una cama?</t>
        </is>
      </c>
      <c r="D27" s="39" t="inlineStr">
        <is>
          <t>¿Cuál es el costo de interacción máximo aceptable para registrar una cama, comparado con el papel?</t>
        </is>
      </c>
      <c r="E27" s="39" t="inlineStr">
        <is>
          <t>Un supervisor de campo</t>
        </is>
      </c>
      <c r="F27" s="39" t="inlineStr">
        <is>
          <t>registra el corte del día de una cama, la siguiente de una serie de camas casi idénticas</t>
        </is>
      </c>
      <c r="G27" s="39" t="inlineStr">
        <is>
          <t>el flujo de captura de la aplicación, con valores por defecto y repetición del registro anterior</t>
        </is>
      </c>
      <c r="H27" s="39" t="inlineStr">
        <is>
          <t>en campo, de pie, sin conexión, dentro de la hora diaria que hoy dedica a llenar formatos en papel</t>
        </is>
      </c>
      <c r="I27" s="39" t="inlineStr">
        <is>
          <t>El sistema precarga los valores del registro anterior y del catálogo y exige del usuario únicamente lo que cambia</t>
        </is>
      </c>
      <c r="J27" s="39" t="inlineStr">
        <is>
          <t>confirmación de captura en 3 segundos o menos, tiempo total de captura por debajo de la hora diaria actual en papel (H-24) y cero campos redigitados que ya estén en el catálogo</t>
        </is>
      </c>
      <c r="K27" s="39" t="inlineStr">
        <is>
          <t>Un supervisor de campo registra el corte del día de una cama, la siguiente de una serie de camas casi idénticas, sobre el flujo de captura de la aplicación, con valores por defecto y repetición del registro anterior, en campo, de pie, sin conexión, dentro de la hora diaria que hoy dedica a llenar formatos en papel. El sistema precarga los valores del registro anterior y del catálogo y exige del usuario únicamente lo que cambia, con confirmación de captura en 3 segundos o menos, tiempo total de captura por debajo de la hora diaria actual en papel (H-24) y cero campos redigitados que ya estén en el catálogo.</t>
        </is>
      </c>
      <c r="L27" s="39" t="inlineStr">
        <is>
          <t>Se replantea como experiencia de usuario medible contra la línea base real (1 hora/día en papel). El número de toques y los 3 segundos siguen siendo BR-N1: bocetados en S2 y no validados con el cliente.</t>
        </is>
      </c>
      <c r="M27" s="39" t="inlineStr">
        <is>
          <t>Supervisor de campo (tomador de datos)</t>
        </is>
      </c>
      <c r="N27" s="40" t="n">
        <v>3</v>
      </c>
      <c r="O27" s="40" t="n"/>
      <c r="P27" s="40" t="n"/>
      <c r="Q27" s="40" t="n">
        <v>3</v>
      </c>
    </row>
    <row r="28">
      <c r="A28" s="35" t="n">
        <v>27</v>
      </c>
      <c r="B28" s="36" t="inlineStr">
        <is>
          <t>Experiencia de Usuario</t>
        </is>
      </c>
      <c r="C28" s="36" t="inlineStr">
        <is>
          <t>¿Se necesita poder identificar la cama escaneando una marca física en lugar de escribir el código?</t>
        </is>
      </c>
      <c r="D28" s="36" t="inlineStr">
        <is>
          <t>¿Con qué tasa de acierto y en qué tiempo debe identificarse una cama, y qué pasa cuando la marca no se lee?</t>
        </is>
      </c>
      <c r="E28" s="36" t="inlineStr">
        <is>
          <t>Un supervisor de campo</t>
        </is>
      </c>
      <c r="F28" s="36" t="inlineStr">
        <is>
          <t>llega a una cama y debe identificarla para iniciar la captura</t>
        </is>
      </c>
      <c r="G28" s="36" t="inlineStr">
        <is>
          <t>el lector de código de la aplicación y la marca física puesta en la cama</t>
        </is>
      </c>
      <c r="H28" s="36" t="inlineStr">
        <is>
          <t>en campo, con sol directo y con la marca posiblemente sucia o deteriorada, sin conexión</t>
        </is>
      </c>
      <c r="I28" s="36" t="inlineStr">
        <is>
          <t>El sistema identifica la cama con el escaneo contra el catálogo local y ofrece la digitación manual como alternativa cuando la marca no se puede leer</t>
        </is>
      </c>
      <c r="J28" s="36" t="inlineStr">
        <is>
          <t>identificación en 2 segundos o menos, 95% o más de lecturas exitosas al primer intento, cero identificaciones erróneas de cama y camino alterno manual siempre disponible</t>
        </is>
      </c>
      <c r="K28" s="36" t="inlineStr">
        <is>
          <t>Un supervisor de campo llega a una cama y debe identificarla para iniciar la captura, sobre el lector de código de la aplicación y la marca física puesta en la cama, en campo, con sol directo y con la marca posiblemente sucia o deteriorada, sin conexión. El sistema identifica la cama con el escaneo contra el catálogo local y ofrece la digitación manual como alternativa cuando la marca no se puede leer, con identificación en 2 segundos o menos, 95% o más de lecturas exitosas al primer intento, cero identificaciones erróneas de cama y camino alterno manual siempre disponible.</t>
        </is>
      </c>
      <c r="L28" s="36" t="inlineStr">
        <is>
          <t>Era una funcionalidad de escaneo. Se replantea como identificación confiable: lo que importa es la tasa de acierto, que nunca se identifique la cama equivocada y que exista camino alterno.</t>
        </is>
      </c>
      <c r="M28" s="36" t="inlineStr">
        <is>
          <t>Supervisor de campo (tomador de datos)</t>
        </is>
      </c>
      <c r="N28" s="37" t="n">
        <v>3</v>
      </c>
      <c r="O28" s="37" t="n"/>
      <c r="P28" s="37" t="n"/>
      <c r="Q28" s="37" t="n">
        <v>3</v>
      </c>
    </row>
    <row r="29">
      <c r="A29" s="38" t="n">
        <v>28</v>
      </c>
      <c r="B29" s="39" t="inlineStr">
        <is>
          <t>Seguridad</t>
        </is>
      </c>
      <c r="C29" s="39" t="inlineStr">
        <is>
          <t>¿Se necesita que la sesión se cierre sola después de un tiempo sin uso?</t>
        </is>
      </c>
      <c r="D29" s="39" t="inlineStr">
        <is>
          <t>¿Cuánto puede permanecer abierta una sesión sin uso, y qué pasa con lo pendiente al cerrarse?</t>
        </is>
      </c>
      <c r="E29" s="39" t="inlineStr">
        <is>
          <t>El reloj del dispositivo, aplicando la política de sesión</t>
        </is>
      </c>
      <c r="F29" s="39" t="inlineStr">
        <is>
          <t>detecta que la sesión lleva más del tiempo permitido sin actividad</t>
        </is>
      </c>
      <c r="G29" s="39" t="inlineStr">
        <is>
          <t>el gestor de sesión de la aplicación móvil y de la consola web</t>
        </is>
      </c>
      <c r="H29" s="39" t="inlineStr">
        <is>
          <t>con un dispositivo personal que puede rotar entre personas en campo, posiblemente sin conexión</t>
        </is>
      </c>
      <c r="I29" s="39" t="inlineStr">
        <is>
          <t>El sistema cierra la sesión y exige reautenticación, conservando cifrados los registros pendientes de sincronizar</t>
        </is>
      </c>
      <c r="J29" s="39" t="inlineStr">
        <is>
          <t>cierre a los N minutos de inactividad (parámetro por definir en BR-N5), 100% de cierres sin pérdida de registros pendientes, cero sesiones activas de forma indefinida y reautenticación posible sin conexión dentro de la ventana definida</t>
        </is>
      </c>
      <c r="K29" s="39" t="inlineStr">
        <is>
          <t>El reloj del dispositivo, aplicando la política de sesión, detecta que la sesión lleva más del tiempo permitido sin actividad, sobre el gestor de sesión de la aplicación móvil y de la consola web, con un dispositivo personal que puede rotar entre personas en campo, posiblemente sin conexión. El sistema cierra la sesión y exige reautenticación, conservando cifrados los registros pendientes de sincronizar, con cierre a los N minutos de inactividad (parámetro por definir en BR-N5), 100% de cierres sin pérdida de registros pendientes, cero sesiones activas de forma indefinida y reautenticación posible sin conexión dentro de la ventana definida.</t>
        </is>
      </c>
      <c r="L29" s="39" t="inlineStr">
        <is>
          <t>Se replantea como seguridad haciendo explícito su conflicto con el offline: el valor de N y la duración de la ventana de sesión sin conexión siguen abiertos en BR-N5.</t>
        </is>
      </c>
      <c r="M29" s="39" t="inlineStr">
        <is>
          <t>Administrador del sistema</t>
        </is>
      </c>
      <c r="N29" s="40" t="n"/>
      <c r="O29" s="40" t="n"/>
      <c r="P29" s="40" t="n">
        <v>3</v>
      </c>
      <c r="Q29" s="40" t="n">
        <v>3</v>
      </c>
    </row>
    <row r="30">
      <c r="A30" s="35" t="n">
        <v>29</v>
      </c>
      <c r="B30" s="36" t="inlineStr">
        <is>
          <t>Interoperatividad</t>
        </is>
      </c>
      <c r="C30" s="36" t="inlineStr">
        <is>
          <t>¿Se necesita que la información se pueda leer desde una herramienta de análisis externa?</t>
        </is>
      </c>
      <c r="D30" s="36" t="inlineStr">
        <is>
          <t>¿Por qué mecanismo y con qué fidelidad puede analizarse la información fuera de los tableros propios?</t>
        </is>
      </c>
      <c r="E30" s="36" t="inlineStr">
        <is>
          <t>Un gerente de producción o un analista que hoy usa Power BI</t>
        </is>
      </c>
      <c r="F30" s="36" t="inlineStr">
        <is>
          <t>quiere analizar la producción con una herramienta ajena al sistema</t>
        </is>
      </c>
      <c r="G30" s="36" t="inlineStr">
        <is>
          <t>la exportación a Excel y PDF, único mecanismo de interoperabilidad previsto (CN-33)</t>
        </is>
      </c>
      <c r="H30" s="36" t="inlineStr">
        <is>
          <t>en la consulta web, en operación normal</t>
        </is>
      </c>
      <c r="I30" s="36" t="inlineStr">
        <is>
          <t>El sistema entrega la información en un formato tabular estable que la herramienta externa lee sin transformación adicional; no se construye integración directa con Power BI</t>
        </is>
      </c>
      <c r="J30" s="36" t="inlineStr">
        <is>
          <t>exportación de cualquier reporte en 30 segundos o menos, estructura de columnas estable entre versiones, cero integraciones con terceros en la primera entrega y 100% de las cifras exportadas conciliables con el tablero</t>
        </is>
      </c>
      <c r="K30" s="36" t="inlineStr">
        <is>
          <t>Un gerente de producción o un analista que hoy usa Power BI quiere analizar la producción con una herramienta ajena al sistema, sobre la exportación a Excel y PDF, único mecanismo de interoperabilidad previsto (CN-33), en la consulta web, en operación normal. El sistema entrega la información en un formato tabular estable que la herramienta externa lee sin transformación adicional; no se construye integración directa con Power BI, con exportación de cualquier reporte en 30 segundos o menos, estructura de columnas estable entre versiones, cero integraciones con terceros en la primera entrega y 100% de las cifras exportadas conciliables con el tablero.</t>
        </is>
      </c>
      <c r="L30" s="36" t="inlineStr">
        <is>
          <t>La nota original decía «Power BI». Se replantea reconociendo DEC-06 y CN-14: la necesidad se atiende por exportación, no por integración. La contradicción con el deseo del cliente se declara, no se disimula.</t>
        </is>
      </c>
      <c r="M30" s="36" t="inlineStr">
        <is>
          <t>Administrador de producción y ventas</t>
        </is>
      </c>
      <c r="N30" s="37" t="n"/>
      <c r="O30" s="37" t="n">
        <v>3</v>
      </c>
      <c r="P30" s="37" t="n"/>
      <c r="Q30" s="37" t="n">
        <v>3</v>
      </c>
    </row>
    <row r="31">
      <c r="A31" s="38" t="n">
        <v>30</v>
      </c>
      <c r="B31" s="39" t="inlineStr">
        <is>
          <t>Capacidad para ser Soportado</t>
        </is>
      </c>
      <c r="C31" s="39" t="inlineStr">
        <is>
          <t>¿Se necesita poder diagnosticar un problema sin tener que desplazarse hasta la finca?</t>
        </is>
      </c>
      <c r="D31" s="39" t="inlineStr">
        <is>
          <t>¿Qué proporción de las incidencias debe poder diagnosticarse en remoto, y sin ver qué información?</t>
        </is>
      </c>
      <c r="E31" s="39" t="inlineStr">
        <is>
          <t>Un usuario de la finca</t>
        </is>
      </c>
      <c r="F31" s="39" t="inlineStr">
        <is>
          <t>reporta que la captura o la sincronización no está funcionando</t>
        </is>
      </c>
      <c r="G31" s="39" t="inlineStr">
        <is>
          <t>los registros de diagnóstico, el estado de dispositivos y la bitácora de sincronización</t>
        </is>
      </c>
      <c r="H31" s="39" t="inlineStr">
        <is>
          <t>con la finca a distancia del equipo de soporte y sin desplazamiento presencial disponible</t>
        </is>
      </c>
      <c r="I31" s="39" t="inlineStr">
        <is>
          <t>El sistema entrega al soporte lo necesario para localizar la causa en remoto, sin exponer datos funcionales del negocio (DEC-09, CN-34)</t>
        </is>
      </c>
      <c r="J31" s="39" t="inlineStr">
        <is>
          <t>80% o más de incidencias diagnosticadas en remoto, diagnóstico inicial en 1 hora o menos, cero accesos a datos de negocio sin autorización y 100% de accesos de soporte auditados</t>
        </is>
      </c>
      <c r="K31" s="39" t="inlineStr">
        <is>
          <t>Un usuario de la finca reporta que la captura o la sincronización no está funcionando, sobre los registros de diagnóstico, el estado de dispositivos y la bitácora de sincronización, con la finca a distancia del equipo de soporte y sin desplazamiento presencial disponible. El sistema entrega al soporte lo necesario para localizar la causa en remoto, sin exponer datos funcionales del negocio (DEC-09, CN-34), con 80% o más de incidencias diagnosticadas en remoto, diagnóstico inicial en 1 hora o menos, cero accesos a datos de negocio sin autorización y 100% de accesos de soporte auditados.</t>
        </is>
      </c>
      <c r="L31" s="39" t="inlineStr">
        <is>
          <t>Era una necesidad de soporte. Se replantea incorporando la restricción de DEC-09: diagnosticar sin leer los datos del cliente, que es justamente la parte difícil y la que hoy es solo promesa organizativa.</t>
        </is>
      </c>
      <c r="M31" s="39" t="inlineStr">
        <is>
          <t>Administrador del sistema</t>
        </is>
      </c>
      <c r="N31" s="40" t="n"/>
      <c r="O31" s="40" t="n"/>
      <c r="P31" s="40" t="n">
        <v>3</v>
      </c>
      <c r="Q31" s="40" t="n">
        <v>3</v>
      </c>
    </row>
    <row r="32">
      <c r="A32" s="35" t="n">
        <v>31</v>
      </c>
      <c r="B32" s="36" t="inlineStr">
        <is>
          <t>Capacidad para ser Soportado</t>
        </is>
      </c>
      <c r="C32" s="36" t="inlineStr">
        <is>
          <t>¿Se necesita poder revisar el estado de un dispositivo de forma remota?</t>
        </is>
      </c>
      <c r="D32" s="36" t="inlineStr">
        <is>
          <t>¿Qué debe saberse de un dispositivo en remoto y con qué antigüedad de esa información?</t>
        </is>
      </c>
      <c r="E32" s="36" t="inlineStr">
        <is>
          <t>Un administrador del sistema</t>
        </is>
      </c>
      <c r="F32" s="36" t="inlineStr">
        <is>
          <t>quiere saber si un dispositivo está sincronizado, con qué versión trabaja y cuántos registros pendientes tiene</t>
        </is>
      </c>
      <c r="G32" s="36" t="inlineStr">
        <is>
          <t>el tablero de dispositivos: última sincronización, versión, pendientes y almacenamiento</t>
        </is>
      </c>
      <c r="H32" s="36" t="inlineStr">
        <is>
          <t>en la consulta web, con dispositivos que pueden estar fuera de línea en ese momento</t>
        </is>
      </c>
      <c r="I32" s="36" t="inlineStr">
        <is>
          <t>El sistema muestra el último estado conocido de cada dispositivo junto con la fecha de ese estado, sin fingir que es información en vivo</t>
        </is>
      </c>
      <c r="J32" s="36" t="inlineStr">
        <is>
          <t>estado disponible para el 100% de los dispositivos registrados, antigüedad del estado siempre visible, actualización en 1 minuto o menos desde la sincronización y cero dispositivos sin registro de estado</t>
        </is>
      </c>
      <c r="K32" s="36" t="inlineStr">
        <is>
          <t>Un administrador del sistema quiere saber si un dispositivo está sincronizado, con qué versión trabaja y cuántos registros pendientes tiene, sobre el tablero de dispositivos: última sincronización, versión, pendientes y almacenamiento, en la consulta web, con dispositivos que pueden estar fuera de línea en ese momento. El sistema muestra el último estado conocido de cada dispositivo junto con la fecha de ese estado, sin fingir que es información en vivo, con estado disponible para el 100% de los dispositivos registrados, antigüedad del estado siempre visible, actualización en 1 minuto o menos desde la sincronización y cero dispositivos sin registro de estado.</t>
        </is>
      </c>
      <c r="L32" s="36" t="inlineStr">
        <is>
          <t>Se replantea como soportabilidad: lo que se mide es que el dato de estado sea completo y esté fechado. Un estado sin fecha sobre un dispositivo offline es peor que no tenerlo.</t>
        </is>
      </c>
      <c r="M32" s="36" t="inlineStr">
        <is>
          <t>Administrador del sistema</t>
        </is>
      </c>
      <c r="N32" s="37" t="n"/>
      <c r="O32" s="37" t="n"/>
      <c r="P32" s="37" t="n">
        <v>3</v>
      </c>
      <c r="Q32" s="37" t="n">
        <v>3</v>
      </c>
    </row>
    <row r="33">
      <c r="A33" s="38" t="n">
        <v>32</v>
      </c>
      <c r="B33" s="39" t="inlineStr">
        <is>
          <t>Portabilidad</t>
        </is>
      </c>
      <c r="C33" s="39" t="inlineStr">
        <is>
          <t>¿Se necesita que la aplicación de captura funcione en dispositivos Android?</t>
        </is>
      </c>
      <c r="D33" s="39" t="inlineStr">
        <is>
          <t>¿En qué gama de dispositivos debe operar la captura sin exigir compra de hardware?</t>
        </is>
      </c>
      <c r="E33" s="39" t="inlineStr">
        <is>
          <t>Un supervisor de campo con su propio celular (CN-21)</t>
        </is>
      </c>
      <c r="F33" s="39" t="inlineStr">
        <is>
          <t>instala la aplicación en un dispositivo Android de gama baja</t>
        </is>
      </c>
      <c r="G33" s="39" t="inlineStr">
        <is>
          <t>la aplicación móvil de captura</t>
        </is>
      </c>
      <c r="H33" s="39" t="inlineStr">
        <is>
          <t>con dispositivos personales heterogéneos, sin partida de hardware en el presupuesto y sin conexión en el área de cultivo</t>
        </is>
      </c>
      <c r="I33" s="39" t="inlineStr">
        <is>
          <t>El sistema se instala y ejecuta el flujo completo de captura en la gama de dispositivos que ya existe en la finca</t>
        </is>
      </c>
      <c r="J33" s="39" t="inlineStr">
        <is>
          <t>versión mínima de Android soportada declarada, funcionamiento en dispositivos de 2 GB de RAM o menos, cero compras de hardware requeridas y arranque de la aplicación en 3 segundos o menos</t>
        </is>
      </c>
      <c r="K33" s="39" t="inlineStr">
        <is>
          <t>Un supervisor de campo con su propio celular (CN-21) instala la aplicación en un dispositivo Android de gama baja, sobre la aplicación móvil de captura, con dispositivos personales heterogéneos, sin partida de hardware en el presupuesto y sin conexión en el área de cultivo. El sistema se instala y ejecuta el flujo completo de captura en la gama de dispositivos que ya existe en la finca, con versión mínima de Android soportada declarada, funcionamiento en dispositivos de 2 GB de RAM o menos, cero compras de hardware requeridas y arranque de la aplicación en 3 segundos o menos.</t>
        </is>
      </c>
      <c r="L33" s="39" t="inlineStr">
        <is>
          <t>Era una decisión de plataforma. Se replantea como portabilidad contra el límite real: el celular es del operario y el presupuesto de ~20.000 USD no asigna hardware (CN-21, CN-02).</t>
        </is>
      </c>
      <c r="M33" s="39" t="inlineStr">
        <is>
          <t>Supervisor de campo (tomador de datos)</t>
        </is>
      </c>
      <c r="N33" s="40" t="n">
        <v>3</v>
      </c>
      <c r="O33" s="40" t="n"/>
      <c r="P33" s="40" t="n"/>
      <c r="Q33" s="40" t="n">
        <v>3</v>
      </c>
    </row>
    <row r="34">
      <c r="A34" s="35" t="n">
        <v>33</v>
      </c>
      <c r="B34" s="36" t="inlineStr">
        <is>
          <t>Confiabilidad</t>
        </is>
      </c>
      <c r="C34" s="36" t="inlineStr">
        <is>
          <t>¿Se necesita verificar que la información sea correcta de manera que se agrupe la información por finca y por jornada completa?</t>
        </is>
      </c>
      <c r="D34" s="36" t="inlineStr">
        <is>
          <t>¿Con qué completitud y en qué plazo debe poder cerrarse la jornada de toda la finca?</t>
        </is>
      </c>
      <c r="E34" s="36" t="inlineStr">
        <is>
          <t>Un gerente de producción</t>
        </is>
      </c>
      <c r="F34" s="36" t="inlineStr">
        <is>
          <t>cierra la jornada y revisa el consolidado de la finca</t>
        </is>
      </c>
      <c r="G34" s="36" t="inlineStr">
        <is>
          <t>el cuadre de captura por finca y jornada</t>
        </is>
      </c>
      <c r="H34" s="36" t="inlineStr">
        <is>
          <t>al final del día, después de que los tres capturadores han sincronizado</t>
        </is>
      </c>
      <c r="I34" s="36" t="inlineStr">
        <is>
          <t>El sistema muestra qué camas se capturaron, cuáles faltan y qué registros quedaron fuera de rango o pendientes de sincronizar</t>
        </is>
      </c>
      <c r="J34" s="36" t="inlineStr">
        <is>
          <t>cuadre disponible en 1 hora o menos desde el cierre, 100% de las ~1.525 camas clasificadas (capturada, no aplica o faltante) y cero registros pendientes invisibles para el gerente</t>
        </is>
      </c>
      <c r="K34" s="36" t="inlineStr">
        <is>
          <t>Un gerente de producción cierra la jornada y revisa el consolidado de la finca, sobre el cuadre de captura por finca y jornada, al final del día, después de que los tres capturadores han sincronizado. El sistema muestra qué camas se capturaron, cuáles faltan y qué registros quedaron fuera de rango o pendientes de sincronizar, con cuadre disponible en 1 hora o menos desde el cierre, 100% de las ~1.525 camas clasificadas (capturada, no aplica o faltante) y cero registros pendientes invisibles para el gerente.</t>
        </is>
      </c>
      <c r="L34" s="36" t="inlineStr">
        <is>
          <t>La pregunta era sobre el nivel de agrupación. Se replantea sobre el momento en que ese nivel se usa de verdad —el cierre de jornada— y se mide por completitud del inventario de camas.</t>
        </is>
      </c>
      <c r="M34" s="36" t="inlineStr">
        <is>
          <t>Administrador de producción y ventas</t>
        </is>
      </c>
      <c r="N34" s="37" t="n"/>
      <c r="O34" s="37" t="n">
        <v>2</v>
      </c>
      <c r="P34" s="37" t="n"/>
      <c r="Q34" s="37" t="n">
        <v>2</v>
      </c>
    </row>
    <row r="35">
      <c r="A35" s="38" t="n">
        <v>34</v>
      </c>
      <c r="B35" s="39" t="inlineStr">
        <is>
          <t>Confiabilidad</t>
        </is>
      </c>
      <c r="C35" s="39" t="inlineStr">
        <is>
          <t>¿Se necesita que el sistema avise cuando se intenta capturar dos veces la misma cama el mismo día?</t>
        </is>
      </c>
      <c r="D35" s="39" t="inlineStr">
        <is>
          <t>¿Qué ocurre cuando dos dispositivos sin conexión registran la misma cama el mismo día?</t>
        </is>
      </c>
      <c r="E35" s="39" t="inlineStr">
        <is>
          <t>Dos capturadores distintos, cada uno con su dispositivo</t>
        </is>
      </c>
      <c r="F35" s="39" t="inlineStr">
        <is>
          <t>registran la misma cama el mismo día, sin que ninguno pueda ver lo que hizo el otro</t>
        </is>
      </c>
      <c r="G35" s="39" t="inlineStr">
        <is>
          <t>la detección de duplicados local y la resolución en la sincronización (CN-24, DEC-05)</t>
        </is>
      </c>
      <c r="H35" s="39" t="inlineStr">
        <is>
          <t>en campo, sin conexión: el choque solo se hace visible cuando ambos sincronizan</t>
        </is>
      </c>
      <c r="I35" s="39" t="inlineStr">
        <is>
          <t>El sistema avisa localmente si ya existe un registro del día para esa cama y, en el servidor, resuelve por orden cronológico dejando rastro; la mediación humana queda disponible como opción configurable</t>
        </is>
      </c>
      <c r="J35" s="39" t="inlineStr">
        <is>
          <t>100% de duplicados detectados, cero registros descartados sin rastro, resolución automática en 1 minuto o menos desde la sincronización y alerta local en 1 segundo o menos</t>
        </is>
      </c>
      <c r="K35" s="39" t="inlineStr">
        <is>
          <t>Dos capturadores distintos, cada uno con su dispositivo, registran la misma cama el mismo día, sin que ninguno pueda ver lo que hizo el otro, sobre la detección de duplicados local y la resolución en la sincronización (CN-24, DEC-05), en campo, sin conexión: el choque solo se hace visible cuando ambos sincronizan. El sistema avisa localmente si ya existe un registro del día para esa cama y, en el servidor, resuelve por orden cronológico dejando rastro; la mediación humana queda disponible como opción configurable, con 100% de duplicados detectados, cero registros descartados sin rastro, resolución automática en 1 minuto o menos desde la sincronización y alerta local en 1 segundo o menos.</t>
        </is>
      </c>
      <c r="L35" s="39" t="inlineStr">
        <is>
          <t>Era una alerta. Se replantea sobre el caso real (dos dispositivos offline, no dos pestañas) y sobre DEC-05. Sigue condicionado por BR-N4: nadie ha preguntado al cliente si el caso ocurre alguna vez.</t>
        </is>
      </c>
      <c r="M35" s="39" t="inlineStr">
        <is>
          <t>Supervisor de campo (tomador de datos)</t>
        </is>
      </c>
      <c r="N35" s="40" t="n">
        <v>2</v>
      </c>
      <c r="O35" s="40" t="n"/>
      <c r="P35" s="40" t="n"/>
      <c r="Q35" s="40" t="n">
        <v>2</v>
      </c>
    </row>
    <row r="36">
      <c r="A36" s="35" t="n">
        <v>35</v>
      </c>
      <c r="B36" s="36" t="inlineStr">
        <is>
          <t>Confiabilidad</t>
        </is>
      </c>
      <c r="C36" s="36" t="inlineStr">
        <is>
          <t>¿Se necesita que la aplicación avise cuando el almacenamiento del dispositivo está por llenarse?</t>
        </is>
      </c>
      <c r="D36" s="36" t="inlineStr">
        <is>
          <t>¿Con cuánta anticipación debe avisarse que el dispositivo se está quedando sin espacio, y qué se protege?</t>
        </is>
      </c>
      <c r="E36" s="36" t="inlineStr">
        <is>
          <t>El dispositivo de campo</t>
        </is>
      </c>
      <c r="F36" s="36" t="inlineStr">
        <is>
          <t>baja del umbral de espacio libre teniendo registros pendientes de sincronizar</t>
        </is>
      </c>
      <c r="G36" s="36" t="inlineStr">
        <is>
          <t>el almacén local y el monitor de espacio de la aplicación</t>
        </is>
      </c>
      <c r="H36" s="36" t="inlineStr">
        <is>
          <t>en campo, sin conexión, sobre un celular personal con poco espacio disponible</t>
        </is>
      </c>
      <c r="I36" s="36" t="inlineStr">
        <is>
          <t>El sistema avisa antes de que el espacio impida guardar y protege los registros pendientes por encima de cualquier dato descartable, como caché o imágenes</t>
        </is>
      </c>
      <c r="J36" s="36" t="inlineStr">
        <is>
          <t>alerta con al menos 1 jornada de margen, cero registros perdidos por falta de espacio y 100% de pendientes preservados al liberar espacio</t>
        </is>
      </c>
      <c r="K36" s="36" t="inlineStr">
        <is>
          <t>El dispositivo de campo baja del umbral de espacio libre teniendo registros pendientes de sincronizar, sobre el almacén local y el monitor de espacio de la aplicación, en campo, sin conexión, sobre un celular personal con poco espacio disponible. El sistema avisa antes de que el espacio impida guardar y protege los registros pendientes por encima de cualquier dato descartable, como caché o imágenes, con alerta con al menos 1 jornada de margen, cero registros perdidos por falta de espacio y 100% de pendientes preservados al liberar espacio.</t>
        </is>
      </c>
      <c r="L36" s="36" t="inlineStr">
        <is>
          <t>Era una notificación. Se replantea como el escenario que protege la garantía de pérdida CERO cuando el recurso que se agota es el almacenamiento y no la batería.</t>
        </is>
      </c>
      <c r="M36" s="36" t="inlineStr">
        <is>
          <t>Supervisor de campo (tomador de datos)</t>
        </is>
      </c>
      <c r="N36" s="37" t="n">
        <v>2</v>
      </c>
      <c r="O36" s="37" t="n"/>
      <c r="P36" s="37" t="n"/>
      <c r="Q36" s="37" t="n">
        <v>2</v>
      </c>
    </row>
    <row r="37">
      <c r="A37" s="38" t="n">
        <v>36</v>
      </c>
      <c r="B37" s="39" t="inlineStr">
        <is>
          <t>Rendimiento</t>
        </is>
      </c>
      <c r="C37" s="39" t="inlineStr">
        <is>
          <t>¿Se necesita que cada dato quede guardado de inmediato, sin espera perceptible?</t>
        </is>
      </c>
      <c r="D37" s="39" t="inlineStr">
        <is>
          <t>¿En cuánto tiempo debe confirmarse al usuario que su dato quedó guardado, y en qué orden?</t>
        </is>
      </c>
      <c r="E37" s="39" t="inlineStr">
        <is>
          <t>Un supervisor de campo</t>
        </is>
      </c>
      <c r="F37" s="39" t="inlineStr">
        <is>
          <t>confirma el registro de una cama</t>
        </is>
      </c>
      <c r="G37" s="39" t="inlineStr">
        <is>
          <t>el almacén local de la aplicación</t>
        </is>
      </c>
      <c r="H37" s="39" t="inlineStr">
        <is>
          <t>en campo, sin conexión, sobre un celular de gama baja</t>
        </is>
      </c>
      <c r="I37" s="39" t="inlineStr">
        <is>
          <t>El sistema persiste el registro localmente y solo entonces confirma al usuario, sin espera perceptible</t>
        </is>
      </c>
      <c r="J37" s="39" t="inlineStr">
        <is>
          <t>confirmación en 3 segundos o menos, persistencia efectiva antes de mostrar la confirmación en el 100% de los casos y cero confirmaciones sin dato persistido</t>
        </is>
      </c>
      <c r="K37" s="39" t="inlineStr">
        <is>
          <t>Un supervisor de campo confirma el registro de una cama, sobre el almacén local de la aplicación, en campo, sin conexión, sobre un celular de gama baja. El sistema persiste el registro localmente y solo entonces confirma al usuario, sin espera perceptible, con confirmación en 3 segundos o menos, persistencia efectiva antes de mostrar la confirmación en el 100% de los casos y cero confirmaciones sin dato persistido.</t>
        </is>
      </c>
      <c r="L37" s="39" t="inlineStr">
        <is>
          <t>Se replantea como rendimiento atado a la confiabilidad: primero persiste, después confirma. El valor de 3 segundos es el boceto de S2 y sigue sin validar (BR-N1).</t>
        </is>
      </c>
      <c r="M37" s="39" t="inlineStr">
        <is>
          <t>Supervisor de campo (tomador de datos)</t>
        </is>
      </c>
      <c r="N37" s="40" t="n">
        <v>2</v>
      </c>
      <c r="O37" s="40" t="n"/>
      <c r="P37" s="40" t="n"/>
      <c r="Q37" s="40" t="n">
        <v>2</v>
      </c>
    </row>
    <row r="38">
      <c r="A38" s="35" t="n">
        <v>37</v>
      </c>
      <c r="B38" s="36" t="inlineStr">
        <is>
          <t>Rendimiento</t>
        </is>
      </c>
      <c r="C38" s="36" t="inlineStr">
        <is>
          <t>¿Se necesita que el paso de una pantalla a la siguiente sea inmediato aun sin conexión?</t>
        </is>
      </c>
      <c r="D38" s="36" t="inlineStr">
        <is>
          <t>¿Qué tan inmediata debe ser la navegación del formulario cuando no hay ninguna conexión?</t>
        </is>
      </c>
      <c r="E38" s="36" t="inlineStr">
        <is>
          <t>Un supervisor de campo</t>
        </is>
      </c>
      <c r="F38" s="36" t="inlineStr">
        <is>
          <t>avanza entre los pasos del formulario de captura</t>
        </is>
      </c>
      <c r="G38" s="36" t="inlineStr">
        <is>
          <t>la interfaz de captura y el catálogo local descargado (CN-26)</t>
        </is>
      </c>
      <c r="H38" s="36" t="inlineStr">
        <is>
          <t>en campo, sin conexión, sobre gama baja, en una jornada de captura continua</t>
        </is>
      </c>
      <c r="I38" s="36" t="inlineStr">
        <is>
          <t>El sistema resuelve cada transición contra el catálogo local, sin esperar ninguna llamada de red</t>
        </is>
      </c>
      <c r="J38" s="36" t="inlineStr">
        <is>
          <t>transición en 300 milisegundos o menos, cero pantallas del flujo de captura que dependan de la red y sin degradación apreciable tras 100 camas seguidas en la misma sesión</t>
        </is>
      </c>
      <c r="K38" s="36" t="inlineStr">
        <is>
          <t>Un supervisor de campo avanza entre los pasos del formulario de captura, sobre la interfaz de captura y el catálogo local descargado (CN-26), en campo, sin conexión, sobre gama baja, en una jornada de captura continua. El sistema resuelve cada transición contra el catálogo local, sin esperar ninguna llamada de red, con transición en 300 milisegundos o menos, cero pantallas del flujo de captura que dependan de la red y sin degradación apreciable tras 100 camas seguidas en la misma sesión.</t>
        </is>
      </c>
      <c r="L38" s="36" t="inlineStr">
        <is>
          <t>Se replantea como rendimiento percibido con umbral explícito y con la exigencia de independencia total de la red; la nota «*» del original queda resuelta así.</t>
        </is>
      </c>
      <c r="M38" s="36" t="inlineStr">
        <is>
          <t>Supervisor de campo (tomador de datos)</t>
        </is>
      </c>
      <c r="N38" s="37" t="n">
        <v>2</v>
      </c>
      <c r="O38" s="37" t="n"/>
      <c r="P38" s="37" t="n"/>
      <c r="Q38" s="37" t="n">
        <v>2</v>
      </c>
    </row>
    <row r="39">
      <c r="A39" s="38" t="n">
        <v>38</v>
      </c>
      <c r="B39" s="39" t="inlineStr">
        <is>
          <t>Rendimiento</t>
        </is>
      </c>
      <c r="C39" s="39" t="inlineStr">
        <is>
          <t>¿Se necesita que muchos dispositivos puedan sincronizar al mismo tiempo al terminar la jornada sin que el sistema se degrade?</t>
        </is>
      </c>
      <c r="D39" s="39" t="inlineStr">
        <is>
          <t>¿Cómo debe comportarse el sistema cuando todos los dispositivos sincronizan a la vez, y cuando el pico es simultáneo entre empresas?</t>
        </is>
      </c>
      <c r="E39" s="39" t="inlineStr">
        <is>
          <t>Todos los dispositivos de campo a la vez</t>
        </is>
      </c>
      <c r="F39" s="39" t="inlineStr">
        <is>
          <t>recuperan cobertura al cerrar la jornada y sincronizan simultáneamente; en temporada alta el pico coincide además entre todas las empresas del servicio (CN-30)</t>
        </is>
      </c>
      <c r="G39" s="39" t="inlineStr">
        <is>
          <t>el servicio de sincronización y las bases de datos por empresa</t>
        </is>
      </c>
      <c r="H39" s="39" t="inlineStr">
        <is>
          <t>en el pico de fin de jornada y en el pico de calendario (San Valentín, Día de la Madre)</t>
        </is>
      </c>
      <c r="I39" s="39" t="inlineStr">
        <is>
          <t>El sistema procesa la ráfaga sin rechazar registros ni degradar la consulta web, encolando cuando hace falta</t>
        </is>
      </c>
      <c r="J39" s="39" t="inlineStr">
        <is>
          <t>cero registros rechazados o perdidos en el pico, sincronización de una jornada completa por dispositivo en 5 minutos o menos y degradación de la consulta web del 20% o menos durante el pico</t>
        </is>
      </c>
      <c r="K39" s="39" t="inlineStr">
        <is>
          <t>Todos los dispositivos de campo a la vez recuperan cobertura al cerrar la jornada y sincronizan simultáneamente; en temporada alta el pico coincide además entre todas las empresas del servicio (CN-30), sobre el servicio de sincronización y las bases de datos por empresa, en el pico de fin de jornada y en el pico de calendario (San Valentín, Día de la Madre). El sistema procesa la ráfaga sin rechazar registros ni degradar la consulta web, encolando cuando hace falta, con cero registros rechazados o perdidos en el pico, sincronización de una jornada completa por dispositivo en 5 minutos o menos y degradación de la consulta web del 20% o menos durante el pico.</t>
        </is>
      </c>
      <c r="L39" s="39" t="inlineStr">
        <is>
          <t>Era una pregunta de concurrencia. Se replantea con los dos picos reales —jornada y calendario— y con medidas separadas de pérdida y de degradación, porque no son el mismo riesgo.</t>
        </is>
      </c>
      <c r="M39" s="39" t="inlineStr">
        <is>
          <t>Supervisor de campo (tomador de datos) / Administrador del sistema</t>
        </is>
      </c>
      <c r="N39" s="40" t="n">
        <v>1</v>
      </c>
      <c r="O39" s="40" t="n"/>
      <c r="P39" s="40" t="n">
        <v>1</v>
      </c>
      <c r="Q39" s="40" t="n">
        <v>2</v>
      </c>
    </row>
    <row r="40">
      <c r="A40" s="35" t="n">
        <v>39</v>
      </c>
      <c r="B40" s="36" t="inlineStr">
        <is>
          <t>Capacidad para ser Auditado</t>
        </is>
      </c>
      <c r="C40" s="36" t="inlineStr">
        <is>
          <t>¿Se necesita poder llegar, desde una cifra de un reporte, hasta los datos individuales que la componen?</t>
        </is>
      </c>
      <c r="D40" s="36" t="inlineStr">
        <is>
          <t>¿En cuántos pasos y con qué exactitud debe poder descomponerse una cifra de un reporte hasta el dato individual?</t>
        </is>
      </c>
      <c r="E40" s="36" t="inlineStr">
        <is>
          <t>Un gerente de producción o un auditor</t>
        </is>
      </c>
      <c r="F40" s="36" t="inlineStr">
        <is>
          <t>encuentra una cifra que no cuadra y quiere ver de qué registros está compuesta</t>
        </is>
      </c>
      <c r="G40" s="36" t="inlineStr">
        <is>
          <t>los reportes y la bitácora de registros base</t>
        </is>
      </c>
      <c r="H40" s="36" t="inlineStr">
        <is>
          <t>en la consulta web, en operación normal</t>
        </is>
      </c>
      <c r="I40" s="36" t="inlineStr">
        <is>
          <t>El sistema permite descender de la cifra agregada al conjunto de registros individuales que la componen, con autor y fecha de cada uno</t>
        </is>
      </c>
      <c r="J40" s="36" t="inlineStr">
        <is>
          <t>descenso hasta el dato base en 3 pasos o menos, 100% de las cifras descomponibles, suma de los registros base igual a la cifra agregada en el 100% de los casos y respuesta en 5 segundos o menos</t>
        </is>
      </c>
      <c r="K40" s="36" t="inlineStr">
        <is>
          <t>Un gerente de producción o un auditor encuentra una cifra que no cuadra y quiere ver de qué registros está compuesta, sobre los reportes y la bitácora de registros base, en la consulta web, en operación normal. El sistema permite descender de la cifra agregada al conjunto de registros individuales que la componen, con autor y fecha de cada uno, con descenso hasta el dato base en 3 pasos o menos, 100% de las cifras descomponibles, suma de los registros base igual a la cifra agregada en el 100% de los casos y respuesta en 5 segundos o menos.</t>
        </is>
      </c>
      <c r="L40" s="36" t="inlineStr">
        <is>
          <t>Era una funcionalidad de detalle. Se replantea como auditabilidad con cobertura, pasos y conciliación exacta: es el mecanismo que hace visible el 2% de error que hoy «no está visualizado en ninguna parte» (RF-C19).</t>
        </is>
      </c>
      <c r="M40" s="36" t="inlineStr">
        <is>
          <t>Administrador de producción y ventas</t>
        </is>
      </c>
      <c r="N40" s="37" t="n"/>
      <c r="O40" s="37" t="n">
        <v>2</v>
      </c>
      <c r="P40" s="37" t="n"/>
      <c r="Q40" s="37" t="n">
        <v>2</v>
      </c>
    </row>
    <row r="41">
      <c r="A41" s="38" t="n">
        <v>40</v>
      </c>
      <c r="B41" s="39" t="inlineStr">
        <is>
          <t>Capacidad para ser Auditado</t>
        </is>
      </c>
      <c r="C41" s="39" t="inlineStr">
        <is>
          <t>¿Se necesita que el registro de lo ocurrido no pueda ser alterado ni borrado por nadie?</t>
        </is>
      </c>
      <c r="D41" s="39" t="inlineStr">
        <is>
          <t>¿Qué debe ocurrir cuando quien tiene más privilegios intenta alterar o borrar la bitácora?</t>
        </is>
      </c>
      <c r="E41" s="39" t="inlineStr">
        <is>
          <t>Cualquier usuario, incluidos el administrador del sistema y el operador de la plataforma</t>
        </is>
      </c>
      <c r="F41" s="39" t="inlineStr">
        <is>
          <t>intenta modificar o eliminar una entrada de la bitácora de eventos</t>
        </is>
      </c>
      <c r="G41" s="39" t="inlineStr">
        <is>
          <t>la bitácora de eventos, en modo solo-anexar</t>
        </is>
      </c>
      <c r="H41" s="39" t="inlineStr">
        <is>
          <t>en operación normal y también durante mantenimiento o soporte remoto</t>
        </is>
      </c>
      <c r="I41" s="39" t="inlineStr">
        <is>
          <t>El sistema rechaza la operación: toda corrección se registra como un evento nuevo que conserva el valor anterior y su autor (RN-18)</t>
        </is>
      </c>
      <c r="J41" s="39" t="inlineStr">
        <is>
          <t>cero entradas de bitácora modificadas o eliminadas, 100% de correcciones con valor anterior y autor y 100% de accesos del operador de la plataforma auditados</t>
        </is>
      </c>
      <c r="K41" s="39" t="inlineStr">
        <is>
          <t>Cualquier usuario, incluidos el administrador del sistema y el operador de la plataforma, intenta modificar o eliminar una entrada de la bitácora de eventos, sobre la bitácora de eventos, en modo solo-anexar, en operación normal y también durante mantenimiento o soporte remoto. El sistema rechaza la operación: toda corrección se registra como un evento nuevo que conserva el valor anterior y su autor (RN-18), con cero entradas de bitácora modificadas o eliminadas, 100% de correcciones con valor anterior y autor y 100% de accesos del operador de la plataforma auditados.</t>
        </is>
      </c>
      <c r="L41" s="39" t="inlineStr">
        <is>
          <t>Se replantea dirigiendo el estímulo a quien más poder tiene. Una bitácora que solo resiste a los usuarios comunes no sostiene la trazabilidad que exige RF-C18.</t>
        </is>
      </c>
      <c r="M41" s="39" t="inlineStr">
        <is>
          <t>Administrador del sistema</t>
        </is>
      </c>
      <c r="N41" s="40" t="n"/>
      <c r="O41" s="40" t="n"/>
      <c r="P41" s="40" t="n">
        <v>2</v>
      </c>
      <c r="Q41" s="40" t="n">
        <v>2</v>
      </c>
    </row>
    <row r="42">
      <c r="A42" s="35" t="n">
        <v>41</v>
      </c>
      <c r="B42" s="36" t="inlineStr">
        <is>
          <t>Capacidad</t>
        </is>
      </c>
      <c r="C42" s="36" t="inlineStr">
        <is>
          <t>¿Se necesita conservar en línea la información de los últimos cinco años?</t>
        </is>
      </c>
      <c r="D42" s="36" t="inlineStr">
        <is>
          <t>¿Qué horizonte de información debe estar disponible en línea y con qué tiempos de respuesta?</t>
        </is>
      </c>
      <c r="E42" s="36" t="inlineStr">
        <is>
          <t>Un gerente de producción</t>
        </is>
      </c>
      <c r="F42" s="36" t="inlineStr">
        <is>
          <t>consulta la información de una cama o de un bloque de hace cuatro años</t>
        </is>
      </c>
      <c r="G42" s="36" t="inlineStr">
        <is>
          <t>el almacenamiento en línea y la política de retención</t>
        </is>
      </c>
      <c r="H42" s="36" t="inlineStr">
        <is>
          <t>en operación normal, en el quinto año de uso, sobre ~1.525 camas con corte diario</t>
        </is>
      </c>
      <c r="I42" s="36" t="inlineStr">
        <is>
          <t>El sistema responde la consulta en línea sin restaurar respaldos ni pedir intervención de soporte</t>
        </is>
      </c>
      <c r="J42" s="36" t="inlineStr">
        <is>
          <t>5 años consultables en línea, respuesta en 5 segundos o menos para el año en curso y 30 segundos o menos para años anteriores, y cero consultas dentro del horizonte que exijan restaurar un respaldo</t>
        </is>
      </c>
      <c r="K42" s="36" t="inlineStr">
        <is>
          <t>Un gerente de producción consulta la información de una cama o de un bloque de hace cuatro años, sobre el almacenamiento en línea y la política de retención, en operación normal, en el quinto año de uso, sobre ~1.525 camas con corte diario. El sistema responde la consulta en línea sin restaurar respaldos ni pedir intervención de soporte, con 5 años consultables en línea, respuesta en 5 segundos o menos para el año en curso y 30 segundos o menos para años anteriores, y cero consultas dentro del horizonte que exijan restaurar un respaldo.</t>
        </is>
      </c>
      <c r="L42" s="36" t="inlineStr">
        <is>
          <t>Era un requisito de retención. Se replantea como capacidad con horizonte, tiempos diferenciados por antigüedad y exclusión explícita del respaldo como vía de consulta.</t>
        </is>
      </c>
      <c r="M42" s="36" t="inlineStr">
        <is>
          <t>Administrador de producción y ventas</t>
        </is>
      </c>
      <c r="N42" s="37" t="n"/>
      <c r="O42" s="37" t="n">
        <v>2</v>
      </c>
      <c r="P42" s="37" t="n"/>
      <c r="Q42" s="37" t="n">
        <v>2</v>
      </c>
    </row>
    <row r="43">
      <c r="A43" s="38" t="n">
        <v>42</v>
      </c>
      <c r="B43" s="39" t="inlineStr">
        <is>
          <t>Capacidad</t>
        </is>
      </c>
      <c r="C43" s="39" t="inlineStr">
        <is>
          <t>¿Se aceptaría que la información de más de cierta antigüedad tarde más en consultarse?</t>
        </is>
      </c>
      <c r="D43" s="39" t="inlineStr">
        <is>
          <t>¿Cuánta latencia adicional se acepta en la información antigua a cambio de contener el costo?</t>
        </is>
      </c>
      <c r="E43" s="39" t="inlineStr">
        <is>
          <t>Un gerente de producción, que concede el punto de forma explícita</t>
        </is>
      </c>
      <c r="F43" s="39" t="inlineStr">
        <is>
          <t>consulta información por fuera del año en curso</t>
        </is>
      </c>
      <c r="G43" s="39" t="inlineStr">
        <is>
          <t>el almacenamiento por niveles: información caliente y archivada</t>
        </is>
      </c>
      <c r="H43" s="39" t="inlineStr">
        <is>
          <t>en la consulta web, en operación normal</t>
        </is>
      </c>
      <c r="I43" s="39" t="inlineStr">
        <is>
          <t>El sistema atiende la consulta antigua con mayor latencia pero sin perder detalle, avisando al usuario de la espera</t>
        </is>
      </c>
      <c r="J43" s="39" t="inlineStr">
        <is>
          <t>30 segundos o menos para datos de 1 a 5 años de antigüedad, 100% del detalle disponible sin agregación destructiva y aviso de espera cuando el tiempo supere 5 segundos</t>
        </is>
      </c>
      <c r="K43" s="39" t="inlineStr">
        <is>
          <t>Un gerente de producción, que concede el punto de forma explícita, consulta información por fuera del año en curso, sobre el almacenamiento por niveles: información caliente y archivada, en la consulta web, en operación normal. El sistema atiende la consulta antigua con mayor latencia pero sin perder detalle, avisando al usuario de la espera, con 30 segundos o menos para datos de 1 a 5 años de antigüedad, 100% del detalle disponible sin agregación destructiva y aviso de espera cuando el tiempo supere 5 segundos.</t>
        </is>
      </c>
      <c r="L43" s="39" t="inlineStr">
        <is>
          <t>Es la contrapartida del rango 41. Se replantea como concesión explícita de rendimiento a cambio de capacidad, con un límite duro: se acepta esperar, no se acepta perder detalle.</t>
        </is>
      </c>
      <c r="M43" s="39" t="inlineStr">
        <is>
          <t>Administrador de producción y ventas</t>
        </is>
      </c>
      <c r="N43" s="40" t="n"/>
      <c r="O43" s="40" t="n">
        <v>2</v>
      </c>
      <c r="P43" s="40" t="n"/>
      <c r="Q43" s="40" t="n">
        <v>2</v>
      </c>
    </row>
    <row r="44">
      <c r="A44" s="35" t="n">
        <v>43</v>
      </c>
      <c r="B44" s="36" t="inlineStr">
        <is>
          <t>Capacidad</t>
        </is>
      </c>
      <c r="C44" s="36" t="inlineStr">
        <is>
          <t>¿Se necesita que el costo de almacenamiento por finca se mantenga acotado a medida que crece la historia?</t>
        </is>
      </c>
      <c r="D44" s="36" t="inlineStr">
        <is>
          <t>¿Cómo debe crecer el costo de almacenamiento por empresa frente al crecimiento de su historia?</t>
        </is>
      </c>
      <c r="E44" s="36" t="inlineStr">
        <is>
          <t>El crecimiento de la historia de una empresa cliente</t>
        </is>
      </c>
      <c r="F44" s="36" t="inlineStr">
        <is>
          <t>suma un año más de registros al almacenamiento que opera FlorLogic (CN-35)</t>
        </is>
      </c>
      <c r="G44" s="36" t="inlineStr">
        <is>
          <t>el modelo de almacenamiento y archivado por empresa (DEC-11)</t>
        </is>
      </c>
      <c r="H44" s="36" t="inlineStr">
        <is>
          <t>en la operación del servicio, con un ingreso previsto de ~10 USD por usuario al mes</t>
        </is>
      </c>
      <c r="I44" s="36" t="inlineStr">
        <is>
          <t>El sistema absorbe el crecimiento con archivado por antigüedad y compresión, sin que el costo por empresa crezca en proporción directa al histórico</t>
        </is>
      </c>
      <c r="J44" s="36" t="inlineStr">
        <is>
          <t>costo mensual de almacenamiento por empresa dentro del margen del precio de suscripción, crecimiento del costo sublineal frente al del volumen y cero licencias de terceros añadidas</t>
        </is>
      </c>
      <c r="K44" s="36" t="inlineStr">
        <is>
          <t>El crecimiento de la historia de una empresa cliente suma un año más de registros al almacenamiento que opera FlorLogic (CN-35), sobre el modelo de almacenamiento y archivado por empresa (DEC-11), en la operación del servicio, con un ingreso previsto de ~10 USD por usuario al mes. El sistema absorbe el crecimiento con archivado por antigüedad y compresión, sin que el costo por empresa crezca en proporción directa al histórico, con costo mensual de almacenamiento por empresa dentro del margen del precio de suscripción, crecimiento del costo sublineal frente al del volumen y cero licencias de terceros añadidas.</t>
        </is>
      </c>
      <c r="L44" s="36" t="inlineStr">
        <is>
          <t>Se replantea desde el negocio: el atributo no es técnico sino de sostenibilidad del servicio, y la medida es el margen contra el precio de suscripción, no los gigabytes.</t>
        </is>
      </c>
      <c r="M44" s="36" t="inlineStr">
        <is>
          <t>Administrador de producción y ventas / Administrador del sistema</t>
        </is>
      </c>
      <c r="N44" s="37" t="n"/>
      <c r="O44" s="37" t="n">
        <v>1</v>
      </c>
      <c r="P44" s="37" t="n">
        <v>1</v>
      </c>
      <c r="Q44" s="37" t="n">
        <v>2</v>
      </c>
    </row>
    <row r="45">
      <c r="A45" s="38" t="n">
        <v>44</v>
      </c>
      <c r="B45" s="39" t="inlineStr">
        <is>
          <t>Capacidad para ser Administrado</t>
        </is>
      </c>
      <c r="C45" s="39" t="inlineStr">
        <is>
          <t>¿Se necesita poder cambiar los grados de calidad y sus definiciones sin desarrollo adicional?</t>
        </is>
      </c>
      <c r="D45" s="39" t="inlineStr">
        <is>
          <t>¿Qué le pasa a la información ya clasificada cuando cambia la tabla de grados?</t>
        </is>
      </c>
      <c r="E45" s="39" t="inlineStr">
        <is>
          <t>Un administrador del sistema, con la definición del área de producción</t>
        </is>
      </c>
      <c r="F45" s="39" t="inlineStr">
        <is>
          <t>cambia la tabla de grados de calidad o la definición de uno de ellos</t>
        </is>
      </c>
      <c r="G45" s="39" t="inlineStr">
        <is>
          <t>el catálogo de grados, versionado</t>
        </is>
      </c>
      <c r="H45" s="39" t="inlineStr">
        <is>
          <t>en operación normal, con registros históricos ya clasificados bajo la tabla anterior</t>
        </is>
      </c>
      <c r="I45" s="39" t="inlineStr">
        <is>
          <t>El sistema aplica el catálogo nuevo a los registros siguientes y conserva en los históricos el grado con el que fueron registrados</t>
        </is>
      </c>
      <c r="J45" s="39" t="inlineStr">
        <is>
          <t>cero despliegues de aplicación, cambio efectivo en 10 minutos o menos, cero registros históricos reclasificados y 100% de versiones de catálogo conservadas</t>
        </is>
      </c>
      <c r="K45" s="39" t="inlineStr">
        <is>
          <t>Un administrador del sistema, con la definición del área de producción, cambia la tabla de grados de calidad o la definición de uno de ellos, sobre el catálogo de grados, versionado, en operación normal, con registros históricos ya clasificados bajo la tabla anterior. El sistema aplica el catálogo nuevo a los registros siguientes y conserva en los históricos el grado con el que fueron registrados, con cero despliegues de aplicación, cambio efectivo en 10 minutos o menos, cero registros históricos reclasificados y 100% de versiones de catálogo conservadas.</t>
        </is>
      </c>
      <c r="L45" s="39" t="inlineStr">
        <is>
          <t>Era parametrización. Se replantea sobre el riesgo real —reescribir el histórico— y se mide por lo que no debe cambiar. La tabla de grados sigue pendiente de entrega por el cliente.</t>
        </is>
      </c>
      <c r="M45" s="39" t="inlineStr">
        <is>
          <t>Administrador de producción y ventas</t>
        </is>
      </c>
      <c r="N45" s="40" t="n"/>
      <c r="O45" s="40" t="n">
        <v>2</v>
      </c>
      <c r="P45" s="40" t="n"/>
      <c r="Q45" s="40" t="n">
        <v>2</v>
      </c>
    </row>
    <row r="46">
      <c r="A46" s="35" t="n">
        <v>45</v>
      </c>
      <c r="B46" s="36" t="inlineStr">
        <is>
          <t>Capacidad para ser Administrado</t>
        </is>
      </c>
      <c r="C46" s="36" t="inlineStr">
        <is>
          <t>¿Se necesita que un cambio de parámetros no altere las proyecciones ya emitidas?</t>
        </is>
      </c>
      <c r="D46" s="36" t="inlineStr">
        <is>
          <t>¿Qué garantiza que una proyección ya emitida siga siendo comparable después de cambiar los parámetros?</t>
        </is>
      </c>
      <c r="E46" s="36" t="inlineStr">
        <is>
          <t>Un administrador del sistema</t>
        </is>
      </c>
      <c r="F46" s="36" t="inlineStr">
        <is>
          <t>cambia un parámetro del motor mientras existen proyecciones ya publicadas y comparadas contra el corte real</t>
        </is>
      </c>
      <c r="G46" s="36" t="inlineStr">
        <is>
          <t>las versiones inmutables de proyección y de parámetros (CN-27)</t>
        </is>
      </c>
      <c r="H46" s="36" t="inlineStr">
        <is>
          <t>en operación normal, entre dos recálculos semanales</t>
        </is>
      </c>
      <c r="I46" s="36" t="inlineStr">
        <is>
          <t>El sistema crea una versión nueva y deja intactas las anteriores, de modo que la comparación proyectado contra real sigue siendo válida</t>
        </is>
      </c>
      <c r="J46" s="36" t="inlineStr">
        <is>
          <t>cero proyecciones ya emitidas modificadas, 100% de proyecciones con su versión de parámetros asociada y comparación histórica reproducible en el 100% de los casos</t>
        </is>
      </c>
      <c r="K46" s="36" t="inlineStr">
        <is>
          <t>Un administrador del sistema cambia un parámetro del motor mientras existen proyecciones ya publicadas y comparadas contra el corte real, sobre las versiones inmutables de proyección y de parámetros (CN-27), en operación normal, entre dos recálculos semanales. El sistema crea una versión nueva y deja intactas las anteriores, de modo que la comparación proyectado contra real sigue siendo válida, con cero proyecciones ya emitidas modificadas, 100% de proyecciones con su versión de parámetros asociada y comparación histórica reproducible en el 100% de los casos.</t>
        </is>
      </c>
      <c r="L46" s="36" t="inlineStr">
        <is>
          <t>Se replantea como condición de la métrica de éxito: sin versiones inmutables, la banda de ±10% (RN-12) no se puede medir contra nada estable.</t>
        </is>
      </c>
      <c r="M46" s="36" t="inlineStr">
        <is>
          <t>Administrador de producción y ventas</t>
        </is>
      </c>
      <c r="N46" s="37" t="n"/>
      <c r="O46" s="37" t="n">
        <v>2</v>
      </c>
      <c r="P46" s="37" t="n"/>
      <c r="Q46" s="37" t="n">
        <v>2</v>
      </c>
    </row>
    <row r="47">
      <c r="A47" s="38" t="n">
        <v>46</v>
      </c>
      <c r="B47" s="39" t="inlineStr">
        <is>
          <t>Capacidad para ser Administrado</t>
        </is>
      </c>
      <c r="C47" s="39" t="inlineStr">
        <is>
          <t>¿Se necesita poder forzar la sincronización de un dispositivo de manera remota?</t>
        </is>
      </c>
      <c r="D47" s="39" t="inlineStr">
        <is>
          <t>¿Puede forzarse la sincronización de un dispositivo sin interrumpir a quien está capturando ni duplicar registros?</t>
        </is>
      </c>
      <c r="E47" s="39" t="inlineStr">
        <is>
          <t>Un administrador del sistema</t>
        </is>
      </c>
      <c r="F47" s="39" t="inlineStr">
        <is>
          <t>detecta un dispositivo rezagado y ordena sincronizarlo sin esperar a que el usuario lo haga</t>
        </is>
      </c>
      <c r="G47" s="39" t="inlineStr">
        <is>
          <t>el canal de comandos hacia el dispositivo y la cola de registros pendientes</t>
        </is>
      </c>
      <c r="H47" s="39" t="inlineStr">
        <is>
          <t>con el dispositivo en cobertura intermitente y el usuario en plena captura</t>
        </is>
      </c>
      <c r="I47" s="39" t="inlineStr">
        <is>
          <t>El sistema ejecuta la sincronización al primer contacto con la red, sin interrumpir la captura en curso</t>
        </is>
      </c>
      <c r="J47" s="39" t="inlineStr">
        <is>
          <t>orden entregada en 1 minuto o menos desde que el dispositivo tiene red, cero interrupciones de la captura en curso y cero registros duplicados por la sincronización forzada</t>
        </is>
      </c>
      <c r="K47" s="39" t="inlineStr">
        <is>
          <t>Un administrador del sistema detecta un dispositivo rezagado y ordena sincronizarlo sin esperar a que el usuario lo haga, sobre el canal de comandos hacia el dispositivo y la cola de registros pendientes, con el dispositivo en cobertura intermitente y el usuario en plena captura. El sistema ejecuta la sincronización al primer contacto con la red, sin interrumpir la captura en curso, con orden entregada en 1 minuto o menos desde que el dispositivo tiene red, cero interrupciones de la captura en curso y cero registros duplicados por la sincronización forzada.</t>
        </is>
      </c>
      <c r="L47" s="39" t="inlineStr">
        <is>
          <t>Era una acción remota. Se replantea exigiendo idempotencia (CN-24) y no interferencia: una sincronización forzada que interrumpa al supervisor cambia un problema por otro.</t>
        </is>
      </c>
      <c r="M47" s="39" t="inlineStr">
        <is>
          <t>Administrador del sistema</t>
        </is>
      </c>
      <c r="N47" s="40" t="n"/>
      <c r="O47" s="40" t="n"/>
      <c r="P47" s="40" t="n">
        <v>2</v>
      </c>
      <c r="Q47" s="40" t="n">
        <v>2</v>
      </c>
    </row>
    <row r="48">
      <c r="A48" s="35" t="n">
        <v>47</v>
      </c>
      <c r="B48" s="36" t="inlineStr">
        <is>
          <t>Experiencia de Usuario</t>
        </is>
      </c>
      <c r="C48" s="36" t="inlineStr">
        <is>
          <t>¿Se necesita que la aplicación indique con claridad qué información ya se sincronizó y cuál no?</t>
        </is>
      </c>
      <c r="D48" s="36" t="inlineStr">
        <is>
          <t>¿Con qué claridad debe distinguir el usuario lo que ya está a salvo de lo que todavía no?</t>
        </is>
      </c>
      <c r="E48" s="36" t="inlineStr">
        <is>
          <t>Un supervisor de campo</t>
        </is>
      </c>
      <c r="F48" s="36" t="inlineStr">
        <is>
          <t>termina la jornada y quiere saber si puede irse tranquilo</t>
        </is>
      </c>
      <c r="G48" s="36" t="inlineStr">
        <is>
          <t>el indicador de estado por registro y el resumen de pendientes en la aplicación</t>
        </is>
      </c>
      <c r="H48" s="36" t="inlineStr">
        <is>
          <t>en campo o de camino a casa, con conectividad intermitente</t>
        </is>
      </c>
      <c r="I48" s="36" t="inlineStr">
        <is>
          <t>El sistema distingue con claridad el registro pendiente del confirmado por el servidor, y muestra cuántos quedan y desde cuándo</t>
        </is>
      </c>
      <c r="J48" s="36" t="inlineStr">
        <is>
          <t>estado visible para el 100% de los registros, cero registros en estado ambiguo y usuario que identifica correctamente el estado en 5 segundos o menos en prueba con usuarios</t>
        </is>
      </c>
      <c r="K48" s="36" t="inlineStr">
        <is>
          <t>Un supervisor de campo termina la jornada y quiere saber si puede irse tranquilo, sobre el indicador de estado por registro y el resumen de pendientes en la aplicación, en campo o de camino a casa, con conectividad intermitente. El sistema distingue con claridad el registro pendiente del confirmado por el servidor, y muestra cuántos quedan y desde cuándo, con estado visible para el 100% de los registros, cero registros en estado ambiguo y usuario que identifica correctamente el estado en 5 segundos o menos en prueba con usuarios.</t>
        </is>
      </c>
      <c r="L48" s="36" t="inlineStr">
        <is>
          <t>Era una indicación de interfaz. Se replantea como la experiencia que hace verificable la promesa de pérdida CERO: si el supervisor no puede comprobarla, no la cree.</t>
        </is>
      </c>
      <c r="M48" s="36" t="inlineStr">
        <is>
          <t>Supervisor de campo (tomador de datos)</t>
        </is>
      </c>
      <c r="N48" s="37" t="n">
        <v>2</v>
      </c>
      <c r="O48" s="37" t="n"/>
      <c r="P48" s="37" t="n"/>
      <c r="Q48" s="37" t="n">
        <v>2</v>
      </c>
    </row>
    <row r="49">
      <c r="A49" s="38" t="n">
        <v>48</v>
      </c>
      <c r="B49" s="39" t="inlineStr">
        <is>
          <t>Experiencia de Usuario</t>
        </is>
      </c>
      <c r="C49" s="39" t="inlineStr">
        <is>
          <t>¿Se necesita que los nombres que aparecen en pantalla sean exactamente los que se usan hablando en la finca?</t>
        </is>
      </c>
      <c r="D49" s="39" t="inlineStr">
        <is>
          <t>¿Qué vocabulario debe usar la interfaz para que la use personal con baja digitalización sin capacitación extensa?</t>
        </is>
      </c>
      <c r="E49" s="39" t="inlineStr">
        <is>
          <t>Un supervisor de campo o un auxiliar</t>
        </is>
      </c>
      <c r="F49" s="39" t="inlineStr">
        <is>
          <t>usa la aplicación por primera vez y busca un concepto de su trabajo diario: bloque, nave, cama, variedad, baja, erradicación</t>
        </is>
      </c>
      <c r="G49" s="39" t="inlineStr">
        <is>
          <t>el vocabulario de la interfaz y del catálogo</t>
        </is>
      </c>
      <c r="H49" s="39" t="inlineStr">
        <is>
          <t>en campo, con personal de baja digitalización y sin capacitación previa extensa</t>
        </is>
      </c>
      <c r="I49" s="39" t="inlineStr">
        <is>
          <t>El sistema nombra cada cosa igual que se nombra hablando en la finca, sin traducciones técnicas</t>
        </is>
      </c>
      <c r="J49" s="39" t="inlineStr">
        <is>
          <t>100% de los términos validados con el supervisor, cero términos inventados por el equipo y usuario que ubica la función correcta al primer intento en el 90% o más de las tareas de prueba</t>
        </is>
      </c>
      <c r="K49" s="39" t="inlineStr">
        <is>
          <t>Un supervisor de campo o un auxiliar usa la aplicación por primera vez y busca un concepto de su trabajo diario: bloque, nave, cama, variedad, baja, erradicación, sobre el vocabulario de la interfaz y del catálogo, en campo, con personal de baja digitalización y sin capacitación previa extensa. El sistema nombra cada cosa igual que se nombra hablando en la finca, sin traducciones técnicas, con 100% de los términos validados con el supervisor, cero términos inventados por el equipo y usuario que ubica la función correcta al primer intento en el 90% o más de las tareas de prueba.</t>
        </is>
      </c>
      <c r="L49" s="39" t="inlineStr">
        <is>
          <t>Era una preferencia de redacción. Se replantea como experiencia de usuario y accesibilidad con validación contra el vocabulario real; mitiga además la resistencia al cambio declarada como restricción humana.</t>
        </is>
      </c>
      <c r="M49" s="39" t="inlineStr">
        <is>
          <t>Supervisor de campo (tomador de datos)</t>
        </is>
      </c>
      <c r="N49" s="40" t="n">
        <v>2</v>
      </c>
      <c r="O49" s="40" t="n"/>
      <c r="P49" s="40" t="n"/>
      <c r="Q49" s="40" t="n">
        <v>2</v>
      </c>
    </row>
    <row r="50">
      <c r="A50" s="35" t="n">
        <v>49</v>
      </c>
      <c r="B50" s="36" t="inlineStr">
        <is>
          <t>Seguridad</t>
        </is>
      </c>
      <c r="C50" s="36" t="inlineStr">
        <is>
          <t>¿Se necesita que cada persona entre al sistema con una identificación propia y no compartida?</t>
        </is>
      </c>
      <c r="D50" s="36" t="inlineStr">
        <is>
          <t>¿Cómo se atribuye cada registro a una persona cuando el dispositivo rota y no hay conexión?</t>
        </is>
      </c>
      <c r="E50" s="36" t="inlineStr">
        <is>
          <t>Un supervisor de campo o un auxiliar</t>
        </is>
      </c>
      <c r="F50" s="36" t="inlineStr">
        <is>
          <t>captura con un dispositivo que ya usó otra persona durante la misma jornada</t>
        </is>
      </c>
      <c r="G50" s="36" t="inlineStr">
        <is>
          <t>la identidad local del usuario evaluada en el dispositivo (CN-23)</t>
        </is>
      </c>
      <c r="H50" s="36" t="inlineStr">
        <is>
          <t>en campo, sin conexión, con dispositivos que pueden rotar entre personas</t>
        </is>
      </c>
      <c r="I50" s="36" t="inlineStr">
        <is>
          <t>El sistema atribuye cada registro a la persona autenticada en ese momento y permite el cambio de usuario sin conexión</t>
        </is>
      </c>
      <c r="J50" s="36" t="inlineStr">
        <is>
          <t>100% de registros con autor identificado, cero cuentas compartidas activas y cambio de usuario en 10 segundos o menos sin conexión</t>
        </is>
      </c>
      <c r="K50" s="36" t="inlineStr">
        <is>
          <t>Un supervisor de campo o un auxiliar captura con un dispositivo que ya usó otra persona durante la misma jornada, sobre la identidad local del usuario evaluada en el dispositivo (CN-23), en campo, sin conexión, con dispositivos que pueden rotar entre personas. El sistema atribuye cada registro a la persona autenticada en ese momento y permite el cambio de usuario sin conexión, con 100% de registros con autor identificado, cero cuentas compartidas activas y cambio de usuario en 10 segundos o menos sin conexión.</t>
        </is>
      </c>
      <c r="L50" s="36" t="inlineStr">
        <is>
          <t>Era autenticación (funcionalidad). Se replantea como el soporte de la trazabilidad: sin autor por registro, el 2% de error no es atribuible al proceso ni corregible (RF-C18).</t>
        </is>
      </c>
      <c r="M50" s="36" t="inlineStr">
        <is>
          <t>Administrador del sistema</t>
        </is>
      </c>
      <c r="N50" s="37" t="n"/>
      <c r="O50" s="37" t="n"/>
      <c r="P50" s="37" t="n">
        <v>2</v>
      </c>
      <c r="Q50" s="37" t="n">
        <v>2</v>
      </c>
    </row>
    <row r="51">
      <c r="A51" s="38" t="n">
        <v>50</v>
      </c>
      <c r="B51" s="39" t="inlineStr">
        <is>
          <t>Seguridad</t>
        </is>
      </c>
      <c r="C51" s="39" t="inlineStr">
        <is>
          <t>¿Se necesita que quien opera la plataforma no pueda leer la información de producción de la empresa?</t>
        </is>
      </c>
      <c r="D51" s="39" t="inlineStr">
        <is>
          <t>¿Qué puede leer el operador del servicio cuando opera respaldos y soporte sobre la base de un cliente?</t>
        </is>
      </c>
      <c r="E51" s="39" t="inlineStr">
        <is>
          <t>El operador de la plataforma (el propio equipo FlorLogic)</t>
        </is>
      </c>
      <c r="F51" s="39" t="inlineStr">
        <is>
          <t>ejecuta una tarea de soporte, respaldo o restauración sobre la base de datos de una empresa cliente</t>
        </is>
      </c>
      <c r="G51" s="39" t="inlineStr">
        <is>
          <t>la base de datos por empresa, los respaldos cifrados y la bitácora de acceso (DEC-09, CN-28, CN-34)</t>
        </is>
      </c>
      <c r="H51" s="39" t="inlineStr">
        <is>
          <t>en la operación del servicio, bajo la exigencia legal de trato como secreto empresarial (CN-03)</t>
        </is>
      </c>
      <c r="I51" s="39" t="inlineStr">
        <is>
          <t>El sistema permite ejecutar la tarea sin que el operador pueda leer contenido de negocio, y deja auditado todo acceso</t>
        </is>
      </c>
      <c r="J51" s="39" t="inlineStr">
        <is>
          <t>cero accesos funcionales del operador a datos de negocio, 100% de respaldos cifrados, 100% de accesos de infraestructura auditados y política de custodia de claves definida en el contrato</t>
        </is>
      </c>
      <c r="K51" s="39" t="inlineStr">
        <is>
          <t>El operador de la plataforma (el propio equipo FlorLogic) ejecuta una tarea de soporte, respaldo o restauración sobre la base de datos de una empresa cliente, sobre la base de datos por empresa, los respaldos cifrados y la bitácora de acceso (DEC-09, CN-28, CN-34), en la operación del servicio, bajo la exigencia legal de trato como secreto empresarial (CN-03). El sistema permite ejecutar la tarea sin que el operador pueda leer contenido de negocio, y deja auditado todo acceso, con cero accesos funcionales del operador a datos de negocio, 100% de respaldos cifrados, 100% de accesos de infraestructura auditados y política de custodia de claves definida en el contrato.</t>
        </is>
      </c>
      <c r="L51" s="39" t="inlineStr">
        <is>
          <t>El propio DEC-09 advierte que hoy esto es promesa organizativa. Se replantea como escenario para volverlo verificable, y queda abierto el trade-off de la clave de cifrado (punto 6 de PUNTOS_CLAVE): clave del proveedor o del cliente, no hay opción gratis.</t>
        </is>
      </c>
      <c r="M51" s="39" t="inlineStr">
        <is>
          <t>Administrador del sistema</t>
        </is>
      </c>
      <c r="N51" s="40" t="n"/>
      <c r="O51" s="40" t="n"/>
      <c r="P51" s="40" t="n">
        <v>2</v>
      </c>
      <c r="Q51" s="40" t="n">
        <v>2</v>
      </c>
    </row>
    <row r="52">
      <c r="A52" s="35" t="n">
        <v>51</v>
      </c>
      <c r="B52" s="36" t="inlineStr">
        <is>
          <t>Interoperatividad</t>
        </is>
      </c>
      <c r="C52" s="36" t="inlineStr">
        <is>
          <t>¿Se necesita poder exportar la información a Excel?</t>
        </is>
      </c>
      <c r="D52" s="36" t="inlineStr">
        <is>
          <t>¿Con qué fidelidad y estabilidad debe coincidir lo exportado con lo que muestra el tablero?</t>
        </is>
      </c>
      <c r="E52" s="36" t="inlineStr">
        <is>
          <t>Un gerente de producción</t>
        </is>
      </c>
      <c r="F52" s="36" t="inlineStr">
        <is>
          <t>necesita llevar un reporte a Excel para compartirlo o analizarlo</t>
        </is>
      </c>
      <c r="G52" s="36" t="inlineStr">
        <is>
          <t>la exportación a Excel y PDF (CN-33)</t>
        </is>
      </c>
      <c r="H52" s="36" t="inlineStr">
        <is>
          <t>en la consulta web, en operación normal, sobre reportes de hasta 5 años</t>
        </is>
      </c>
      <c r="I52" s="36" t="inlineStr">
        <is>
          <t>El sistema entrega el archivo con las mismas cifras del tablero y con una estructura de columnas estable</t>
        </is>
      </c>
      <c r="J52" s="36" t="inlineStr">
        <is>
          <t>exportación en 30 segundos o menos para un año de datos, 100% de coincidencia con las cifras en pantalla y estructura de columnas sin cambios entre versiones menores</t>
        </is>
      </c>
      <c r="K52" s="36" t="inlineStr">
        <is>
          <t>Un gerente de producción necesita llevar un reporte a Excel para compartirlo o analizarlo, sobre la exportación a Excel y PDF (CN-33), en la consulta web, en operación normal, sobre reportes de hasta 5 años. El sistema entrega el archivo con las mismas cifras del tablero y con una estructura de columnas estable, con exportación en 30 segundos o menos para un año de datos, 100% de coincidencia con las cifras en pantalla y estructura de columnas sin cambios entre versiones menores.</t>
        </is>
      </c>
      <c r="L52" s="36" t="inlineStr">
        <is>
          <t>Se replantea con conciliación exacta y estabilidad de formato: el riesgo no es exportar, es que lo exportado no cuadre con el tablero y aparezcan dos verdades.</t>
        </is>
      </c>
      <c r="M52" s="36" t="inlineStr">
        <is>
          <t>Administrador de producción y ventas</t>
        </is>
      </c>
      <c r="N52" s="37" t="n"/>
      <c r="O52" s="37" t="n">
        <v>2</v>
      </c>
      <c r="P52" s="37" t="n"/>
      <c r="Q52" s="37" t="n">
        <v>2</v>
      </c>
    </row>
    <row r="53">
      <c r="A53" s="38" t="n">
        <v>52</v>
      </c>
      <c r="B53" s="39" t="inlineStr">
        <is>
          <t>Escalabilidad</t>
        </is>
      </c>
      <c r="C53" s="39" t="inlineStr">
        <is>
          <t>¿Se necesita poder agregar una finca nueva sin volver a instalar ni reconfigurar todo?</t>
        </is>
      </c>
      <c r="D53" s="39" t="inlineStr">
        <is>
          <t>¿Qué hay que reinstalar, reconfigurar o interrumpir para dar de alta una finca nueva?</t>
        </is>
      </c>
      <c r="E53" s="39" t="inlineStr">
        <is>
          <t>Un administrador del sistema de la empresa</t>
        </is>
      </c>
      <c r="F53" s="39" t="inlineStr">
        <is>
          <t>incorpora una finca nueva con sus bloques, naves, camas y secciones</t>
        </is>
      </c>
      <c r="G53" s="39" t="inlineStr">
        <is>
          <t>el modelo multi-finca dentro de la base de datos de la empresa (DEC-11)</t>
        </is>
      </c>
      <c r="H53" s="39" t="inlineStr">
        <is>
          <t>en operación normal, con la finca existente en plena producción</t>
        </is>
      </c>
      <c r="I53" s="39" t="inlineStr">
        <is>
          <t>El sistema da de alta la finca nueva como dato, sin reinstalar la plataforma ni reconfigurar la finca que ya opera</t>
        </is>
      </c>
      <c r="J53" s="39" t="inlineStr">
        <is>
          <t>alta completada en 1 día o menos, cero reinstalaciones, cero interrupciones de servicio para la finca existente y cero cambios de código</t>
        </is>
      </c>
      <c r="K53" s="39" t="inlineStr">
        <is>
          <t>Un administrador del sistema de la empresa incorpora una finca nueva con sus bloques, naves, camas y secciones, sobre el modelo multi-finca dentro de la base de datos de la empresa (DEC-11), en operación normal, con la finca existente en plena producción. El sistema da de alta la finca nueva como dato, sin reinstalar la plataforma ni reconfigurar la finca que ya opera, con alta completada en 1 día o menos, cero reinstalaciones, cero interrupciones de servicio para la finca existente y cero cambios de código.</t>
        </is>
      </c>
      <c r="L53" s="39" t="inlineStr">
        <is>
          <t>Era una funcionalidad de alta. Se replantea como escalabilidad medida por lo que no se toca: nada se reinstala y nadie se cae.</t>
        </is>
      </c>
      <c r="M53" s="39" t="inlineStr">
        <is>
          <t>Administrador del sistema</t>
        </is>
      </c>
      <c r="N53" s="40" t="n"/>
      <c r="O53" s="40" t="n"/>
      <c r="P53" s="40" t="n">
        <v>2</v>
      </c>
      <c r="Q53" s="40" t="n">
        <v>2</v>
      </c>
    </row>
    <row r="54">
      <c r="A54" s="35" t="n">
        <v>53</v>
      </c>
      <c r="B54" s="36" t="inlineStr">
        <is>
          <t>Capacidad para ser Soportado</t>
        </is>
      </c>
      <c r="C54" s="36" t="inlineStr">
        <is>
          <t>¿Se necesita que exista alguien dentro de la finca capaz de resolver los problemas del día a día?</t>
        </is>
      </c>
      <c r="D54" s="36" t="inlineStr">
        <is>
          <t>¿Qué proporción de los problemas del día a día debe resolverse dentro de la finca y con cuánta capacitación?</t>
        </is>
      </c>
      <c r="E54" s="36" t="inlineStr">
        <is>
          <t>Un usuario de campo</t>
        </is>
      </c>
      <c r="F54" s="36" t="inlineStr">
        <is>
          <t>reporta una incidencia común: un dispositivo que no sincroniza, un usuario bloqueado o un catálogo desactualizado</t>
        </is>
      </c>
      <c r="G54" s="36" t="inlineStr">
        <is>
          <t>la consola de administración, la guía de operación y el tablero de dispositivos</t>
        </is>
      </c>
      <c r="H54" s="36" t="inlineStr">
        <is>
          <t>en la finca, sin soporte presencial del equipo desarrollador y con un presupuesto de construcción de ~20.000 USD</t>
        </is>
      </c>
      <c r="I54" s="36" t="inlineStr">
        <is>
          <t>El sistema permite al administrador de la finca resolver la incidencia con sus propias herramientas, sin escalar al proveedor</t>
        </is>
      </c>
      <c r="J54" s="36" t="inlineStr">
        <is>
          <t>80% o más de las incidencias comunes resueltas dentro de la finca, resolución en 1 hora o menos, 4 horas o menos de capacitación para alcanzar ese nivel y cero escalamientos por tareas rutinarias</t>
        </is>
      </c>
      <c r="K54" s="36" t="inlineStr">
        <is>
          <t>Un usuario de campo reporta una incidencia común: un dispositivo que no sincroniza, un usuario bloqueado o un catálogo desactualizado, sobre la consola de administración, la guía de operación y el tablero de dispositivos, en la finca, sin soporte presencial del equipo desarrollador y con un presupuesto de construcción de ~20.000 USD. El sistema permite al administrador de la finca resolver la incidencia con sus propias herramientas, sin escalar al proveedor, con 80% o más de las incidencias comunes resueltas dentro de la finca, resolución en 1 hora o menos, 4 horas o menos de capacitación para alcanzar ese nivel y cero escalamientos por tareas rutinarias.</t>
        </is>
      </c>
      <c r="L54" s="36" t="inlineStr">
        <is>
          <t>Era una pregunta organizativa. Se replantea como soportabilidad con cobertura de autoservicio, tiempo y esfuerzo de capacitación, que es lo que el presupuesto y la fecha de mayo de 2027 exigen.</t>
        </is>
      </c>
      <c r="M54" s="36" t="inlineStr">
        <is>
          <t>Administrador del sistema</t>
        </is>
      </c>
      <c r="N54" s="37" t="n"/>
      <c r="O54" s="37" t="n"/>
      <c r="P54" s="37" t="n">
        <v>2</v>
      </c>
      <c r="Q54" s="37" t="n">
        <v>2</v>
      </c>
    </row>
    <row r="55">
      <c r="A55" s="38" t="n">
        <v>54</v>
      </c>
      <c r="B55" s="39" t="inlineStr">
        <is>
          <t>Portabilidad</t>
        </is>
      </c>
      <c r="C55" s="39" t="inlineStr">
        <is>
          <t>¿Se necesita poder cambiar de dispositivo conservando la información que aún no se ha sincronizado?</t>
        </is>
      </c>
      <c r="D55" s="39" t="inlineStr">
        <is>
          <t>¿Qué pasa con los registros no sincronizados cuando el dispositivo se pierde o se reemplaza?</t>
        </is>
      </c>
      <c r="E55" s="39" t="inlineStr">
        <is>
          <t>Un supervisor de campo</t>
        </is>
      </c>
      <c r="F55" s="39" t="inlineStr">
        <is>
          <t>pierde, daña o reemplaza su celular con registros aún no sincronizados</t>
        </is>
      </c>
      <c r="G55" s="39" t="inlineStr">
        <is>
          <t>el almacén local cifrado y el procedimiento de recuperación</t>
        </is>
      </c>
      <c r="H55" s="39" t="inlineStr">
        <is>
          <t>en campo, sin conexión, sobre un dispositivo personal (CN-21)</t>
        </is>
      </c>
      <c r="I55" s="39" t="inlineStr">
        <is>
          <t>El sistema recupera los registros pendientes en el dispositivo nuevo cuando el anterior es accesible; si no lo es, identifica con precisión qué camas y qué jornadas quedaron sin capturar para rehacerlas</t>
        </is>
      </c>
      <c r="J55" s="39" t="inlineStr">
        <is>
          <t>100% de pendientes recuperados si el dispositivo anterior es accesible, identificación exacta del vacío en 1 hora o menos si no lo es, cero registros recuperados sin cifrado y cero duplicados al recuperar</t>
        </is>
      </c>
      <c r="K55" s="39" t="inlineStr">
        <is>
          <t>Un supervisor de campo pierde, daña o reemplaza su celular con registros aún no sincronizados, sobre el almacén local cifrado y el procedimiento de recuperación, en campo, sin conexión, sobre un dispositivo personal (CN-21). El sistema recupera los registros pendientes en el dispositivo nuevo cuando el anterior es accesible; si no lo es, identifica con precisión qué camas y qué jornadas quedaron sin capturar para rehacerlas, con 100% de pendientes recuperados si el dispositivo anterior es accesible, identificación exacta del vacío en 1 hora o menos si no lo es, cero registros recuperados sin cifrado y cero duplicados al recuperar.</t>
        </is>
      </c>
      <c r="L55" s="39" t="inlineStr">
        <is>
          <t>Los dos arquitectos respondieron NO y el cliente SÍ. Se replantea reconociendo que la pérdida física del dispositivo es el único caso donde la garantía de pérdida CERO no se puede sostener: el escenario acota el daño. La pregunta sigue abierta en el cierre de la hoja de sesión.</t>
        </is>
      </c>
      <c r="M55" s="39" t="inlineStr">
        <is>
          <t>Supervisor de campo (tomador de datos)</t>
        </is>
      </c>
      <c r="N55" s="40" t="n">
        <v>2</v>
      </c>
      <c r="O55" s="40" t="n"/>
      <c r="P55" s="40" t="n"/>
      <c r="Q55" s="40" t="n">
        <v>2</v>
      </c>
    </row>
    <row r="56">
      <c r="A56" s="35" t="n">
        <v>55</v>
      </c>
      <c r="B56" s="36" t="inlineStr">
        <is>
          <t>Confiabilidad</t>
        </is>
      </c>
      <c r="C56" s="36" t="inlineStr">
        <is>
          <t>¿Se necesita que el sistema permita guardar una captura incompleta y marcarla como pendiente?</t>
        </is>
      </c>
      <c r="D56" s="36" t="inlineStr">
        <is>
          <t>¿Qué efecto puede tener sobre la proyección un registro que quedó a medias?</t>
        </is>
      </c>
      <c r="E56" s="36" t="inlineStr">
        <is>
          <t>Un supervisor de campo</t>
        </is>
      </c>
      <c r="F56" s="36" t="inlineStr">
        <is>
          <t>interrumpe la captura de una cama por lluvia, fin de jornada o un dato que no tiene a mano</t>
        </is>
      </c>
      <c r="G56" s="36" t="inlineStr">
        <is>
          <t>el registro en estado pendiente dentro del almacén local</t>
        </is>
      </c>
      <c r="H56" s="36" t="inlineStr">
        <is>
          <t>en campo, sin conexión, a mitad de jornada</t>
        </is>
      </c>
      <c r="I56" s="36" t="inlineStr">
        <is>
          <t>El sistema guarda lo capturado marcándolo como incompleto, lo excluye de la proyección hasta que se complete y lo mantiene visible como pendiente</t>
        </is>
      </c>
      <c r="J56" s="36" t="inlineStr">
        <is>
          <t>cero datos perdidos por interrupción, cero registros incompletos contabilizados en la proyección y pendientes visibles en el 100% de los casos hasta cerrarse</t>
        </is>
      </c>
      <c r="K56" s="36" t="inlineStr">
        <is>
          <t>Un supervisor de campo interrumpe la captura de una cama por lluvia, fin de jornada o un dato que no tiene a mano, sobre el registro en estado pendiente dentro del almacén local, en campo, sin conexión, a mitad de jornada. El sistema guarda lo capturado marcándolo como incompleto, lo excluye de la proyección hasta que se complete y lo mantiene visible como pendiente, con cero datos perdidos por interrupción, cero registros incompletos contabilizados en la proyección y pendientes visibles en el 100% de los casos hasta cerrarse.</t>
        </is>
      </c>
      <c r="L56" s="36" t="inlineStr">
        <is>
          <t>Era una funcionalidad de borrador. Se replantea sobre la consecuencia que de verdad importa: un registro incompleto no puede contaminar la proyección ni contarse como cama capturada.</t>
        </is>
      </c>
      <c r="M56" s="36" t="inlineStr">
        <is>
          <t>Administrador de producción y ventas</t>
        </is>
      </c>
      <c r="N56" s="37" t="n"/>
      <c r="O56" s="37" t="n">
        <v>1</v>
      </c>
      <c r="P56" s="37" t="n"/>
      <c r="Q56" s="37" t="n">
        <v>1</v>
      </c>
    </row>
    <row r="57">
      <c r="A57" s="38" t="n">
        <v>56</v>
      </c>
      <c r="B57" s="39" t="inlineStr">
        <is>
          <t>Confiabilidad</t>
        </is>
      </c>
      <c r="C57" s="39" t="inlineStr">
        <is>
          <t>¿Se necesita que el sistema muestre siempre el motivo por el cual rechazó un dato?</t>
        </is>
      </c>
      <c r="D57" s="39" t="inlineStr">
        <is>
          <t>¿Qué debe entender el usuario cuando el sistema le rechaza un dato, y en qué lenguaje?</t>
        </is>
      </c>
      <c r="E57" s="39" t="inlineStr">
        <is>
          <t>Un supervisor de campo</t>
        </is>
      </c>
      <c r="F57" s="39" t="inlineStr">
        <is>
          <t>recibe el rechazo de un valor por una regla dura de validación</t>
        </is>
      </c>
      <c r="G57" s="39" t="inlineStr">
        <is>
          <t>el motor de validación local y los mensajes de la aplicación</t>
        </is>
      </c>
      <c r="H57" s="39" t="inlineStr">
        <is>
          <t>en campo, sin conexión, con personal de baja digitalización</t>
        </is>
      </c>
      <c r="I57" s="39" t="inlineStr">
        <is>
          <t>El sistema explica en el lenguaje de la finca qué regla se violó y qué valor se esperaba, y ofrece la corrección</t>
        </is>
      </c>
      <c r="J57" s="39" t="inlineStr">
        <is>
          <t>100% de rechazos con motivo explícito, cero mensajes con códigos técnicos y usuario que corrige sin ayuda externa en el 90% o más de los casos de prueba</t>
        </is>
      </c>
      <c r="K57" s="39" t="inlineStr">
        <is>
          <t>Un supervisor de campo recibe el rechazo de un valor por una regla dura de validación, sobre el motor de validación local y los mensajes de la aplicación, en campo, sin conexión, con personal de baja digitalización. El sistema explica en el lenguaje de la finca qué regla se violó y qué valor se esperaba, y ofrece la corrección, con 100% de rechazos con motivo explícito, cero mensajes con códigos técnicos y usuario que corrige sin ayuda externa en el 90% o más de los casos de prueba.</t>
        </is>
      </c>
      <c r="L57" s="39" t="inlineStr">
        <is>
          <t>Era un mensaje de error. Se replantea como confiabilidad y experiencia de usuario a la vez: una validación sin motivo comprensible produce un dato inventado, no un dato corregido.</t>
        </is>
      </c>
      <c r="M57" s="39" t="inlineStr">
        <is>
          <t>Administrador de producción y ventas</t>
        </is>
      </c>
      <c r="N57" s="40" t="n"/>
      <c r="O57" s="40" t="n">
        <v>1</v>
      </c>
      <c r="P57" s="40" t="n"/>
      <c r="Q57" s="40" t="n">
        <v>1</v>
      </c>
    </row>
    <row r="58">
      <c r="A58" s="35" t="n">
        <v>57</v>
      </c>
      <c r="B58" s="36" t="inlineStr">
        <is>
          <t>Confiabilidad</t>
        </is>
      </c>
      <c r="C58" s="36" t="inlineStr">
        <is>
          <t>¿Se necesita que las reglas de validación funcionen igual estando sin conexión que estando conectado?</t>
        </is>
      </c>
      <c r="D58" s="36" t="inlineStr">
        <is>
          <t>¿Puede el mismo dato ser aceptado sin conexión y rechazado en línea, o al revés?</t>
        </is>
      </c>
      <c r="E58" s="36" t="inlineStr">
        <is>
          <t>Un supervisor de campo</t>
        </is>
      </c>
      <c r="F58" s="36" t="inlineStr">
        <is>
          <t>captura el mismo dato una vez con conexión y otra vez sin conexión</t>
        </is>
      </c>
      <c r="G58" s="36" t="inlineStr">
        <is>
          <t>el catálogo de reglas único, evaluado tanto en el dispositivo como en el servidor (CN-22)</t>
        </is>
      </c>
      <c r="H58" s="36" t="inlineStr">
        <is>
          <t>en campo sin conexión y en oficina con conexión, sobre la misma versión de catálogo</t>
        </is>
      </c>
      <c r="I58" s="36" t="inlineStr">
        <is>
          <t>El sistema produce el mismo resultado de validación en ambos casos y el servidor no acepta nada que el dispositivo hubiera rechazado</t>
        </is>
      </c>
      <c r="J58" s="36" t="inlineStr">
        <is>
          <t>cero discrepancias entre la validación local y la del servidor sobre la misma versión de catálogo, 100% de reglas duras implementadas una sola vez y cero registros aceptados en servidor que violen una regla dura</t>
        </is>
      </c>
      <c r="K58" s="36" t="inlineStr">
        <is>
          <t>Un supervisor de campo captura el mismo dato una vez con conexión y otra vez sin conexión, sobre el catálogo de reglas único, evaluado tanto en el dispositivo como en el servidor (CN-22), en campo sin conexión y en oficina con conexión, sobre la misma versión de catálogo. El sistema produce el mismo resultado de validación en ambos casos y el servidor no acepta nada que el dispositivo hubiera rechazado, con cero discrepancias entre la validación local y la del servidor sobre la misma versión de catálogo, 100% de reglas duras implementadas una sola vez y cero registros aceptados en servidor que violen una regla dura.</t>
        </is>
      </c>
      <c r="L58" s="36" t="inlineStr">
        <is>
          <t>Era una equivalencia funcional. Se replantea con la medida que importa —cero discrepancias— porque es lo que impide que trabajar sin conexión degrade la calidad del dato.</t>
        </is>
      </c>
      <c r="M58" s="36" t="inlineStr">
        <is>
          <t>Supervisor de campo (tomador de datos)</t>
        </is>
      </c>
      <c r="N58" s="37" t="n">
        <v>1</v>
      </c>
      <c r="O58" s="37" t="n"/>
      <c r="P58" s="37" t="n"/>
      <c r="Q58" s="37" t="n">
        <v>1</v>
      </c>
    </row>
    <row r="59">
      <c r="A59" s="38" t="n">
        <v>58</v>
      </c>
      <c r="B59" s="39" t="inlineStr">
        <is>
          <t>Confiabilidad</t>
        </is>
      </c>
      <c r="C59" s="39" t="inlineStr">
        <is>
          <t>¿Se necesita poder corregir un dato después de que se sincronizó?</t>
        </is>
      </c>
      <c r="D59" s="39" t="inlineStr">
        <is>
          <t>¿Bajo qué autorización y con qué rastro puede corregirse un dato que ya alimentó una proyección?</t>
        </is>
      </c>
      <c r="E59" s="39" t="inlineStr">
        <is>
          <t>Un administrador del sistema, con la aprobación del gerente o del ingeniero de producción (RN-17)</t>
        </is>
      </c>
      <c r="F59" s="39" t="inlineStr">
        <is>
          <t>detecta un dato erróneo que ya llegó al repositorio central y ya alimentó una proyección publicada</t>
        </is>
      </c>
      <c r="G59" s="39" t="inlineStr">
        <is>
          <t>el registro sincronizado, la bitácora inmutable y el motor de proyección</t>
        </is>
      </c>
      <c r="H59" s="39" t="inlineStr">
        <is>
          <t>en operación normal, días después de la captura original</t>
        </is>
      </c>
      <c r="I59" s="39" t="inlineStr">
        <is>
          <t>El sistema admite la corrección solo con el rol y la referencia de aprobación, conserva el valor anterior y marca para recálculo las proyecciones afectadas</t>
        </is>
      </c>
      <c r="J59" s="39" t="inlineStr">
        <is>
          <t>cero correcciones sin rol y sin referencia de aprobación, 100% de correcciones con valor anterior y autor en bitácora y proyecciones afectadas recalculadas en 1 día o menos</t>
        </is>
      </c>
      <c r="K59" s="39" t="inlineStr">
        <is>
          <t>Un administrador del sistema, con la aprobación del gerente o del ingeniero de producción (RN-17), detecta un dato erróneo que ya llegó al repositorio central y ya alimentó una proyección publicada, sobre el registro sincronizado, la bitácora inmutable y el motor de proyección, en operación normal, días después de la captura original. El sistema admite la corrección solo con el rol y la referencia de aprobación, conserva el valor anterior y marca para recálculo las proyecciones afectadas, con cero correcciones sin rol y sin referencia de aprobación, 100% de correcciones con valor anterior y autor en bitácora y proyecciones afectadas recalculadas en 1 día o menos.</t>
        </is>
      </c>
      <c r="L59" s="39" t="inlineStr">
        <is>
          <t>Es la contraparte del rango 8. Se replantea sobre el control que hoy existe solo como acuerdo verbal (RF-C17) para volverlo defendible en una auditoría.</t>
        </is>
      </c>
      <c r="M59" s="39" t="inlineStr">
        <is>
          <t>Administrador del sistema</t>
        </is>
      </c>
      <c r="N59" s="40" t="n"/>
      <c r="O59" s="40" t="n"/>
      <c r="P59" s="40" t="n">
        <v>1</v>
      </c>
      <c r="Q59" s="40" t="n">
        <v>1</v>
      </c>
    </row>
    <row r="60">
      <c r="A60" s="35" t="n">
        <v>59</v>
      </c>
      <c r="B60" s="36" t="inlineStr">
        <is>
          <t>Disponibilidad</t>
        </is>
      </c>
      <c r="C60" s="36" t="inlineStr">
        <is>
          <t>¿Se necesita que la captura siga funcionando aunque el servicio en la nube esté caído?</t>
        </is>
      </c>
      <c r="D60" s="36" t="inlineStr">
        <is>
          <t>¿Cuánto tiempo de trabajo en campo se pierde cuando la plataforma central está caída?</t>
        </is>
      </c>
      <c r="E60" s="36" t="inlineStr">
        <is>
          <t>Una falla de la plataforma en la nube</t>
        </is>
      </c>
      <c r="F60" s="36" t="inlineStr">
        <is>
          <t>deja el servicio central fuera de operación durante la jornada</t>
        </is>
      </c>
      <c r="G60" s="36" t="inlineStr">
        <is>
          <t>la aplicación de captura offline-first (CN-13) y la cola de sincronización</t>
        </is>
      </c>
      <c r="H60" s="36" t="inlineStr">
        <is>
          <t>en plena jornada de campo, con los tres capturadores trabajando y la plataforma no disponible</t>
        </is>
      </c>
      <c r="I60" s="36" t="inlineStr">
        <is>
          <t>El sistema mantiene la captura, la validación y la autenticación funcionando en el dispositivo; los registros se acumulan y se entregan al restablecerse el servicio</t>
        </is>
      </c>
      <c r="J60" s="36" t="inlineStr">
        <is>
          <t>cero minutos de captura perdidos por caída de la plataforma, tolerancia de fallo de funcionamiento de 1 hora o menos (CN-15) sin impacto en campo, cero registros perdidos al restablecerse y restauración en 1 día o menos</t>
        </is>
      </c>
      <c r="K60" s="36" t="inlineStr">
        <is>
          <t>Una falla de la plataforma en la nube deja el servicio central fuera de operación durante la jornada, sobre la aplicación de captura offline-first (CN-13) y la cola de sincronización, en plena jornada de campo, con los tres capturadores trabajando y la plataforma no disponible. El sistema mantiene la captura, la validación y la autenticación funcionando en el dispositivo; los registros se acumulan y se entregan al restablecerse el servicio, con cero minutos de captura perdidos por caída de la plataforma, tolerancia de fallo de funcionamiento de 1 hora o menos (CN-15) sin impacto en campo, cero registros perdidos al restablecerse y restauración en 1 día o menos.</t>
        </is>
      </c>
      <c r="L60" s="36" t="inlineStr">
        <is>
          <t>Se replantea como el escenario que convierte una caída en retraso y no en parada, usando los cuatro números diferenciados de DEC-12 en lugar de un porcentaje genérico de disponibilidad.</t>
        </is>
      </c>
      <c r="M60" s="36" t="inlineStr">
        <is>
          <t>Supervisor de campo (tomador de datos)</t>
        </is>
      </c>
      <c r="N60" s="37" t="n">
        <v>1</v>
      </c>
      <c r="O60" s="37" t="n"/>
      <c r="P60" s="37" t="n"/>
      <c r="Q60" s="37" t="n">
        <v>1</v>
      </c>
    </row>
    <row r="61">
      <c r="A61" s="38" t="n">
        <v>60</v>
      </c>
      <c r="B61" s="39" t="inlineStr">
        <is>
          <t>Rendimiento</t>
        </is>
      </c>
      <c r="C61" s="39" t="inlineStr">
        <is>
          <t>¿Se necesita que la información sincronizada se vea reflejada en la consulta web dentro de la misma hora?</t>
        </is>
      </c>
      <c r="D61" s="39" t="inlineStr">
        <is>
          <t>¿Cuánto puede tardar un dato sincronizado en ser visible para quien decide?</t>
        </is>
      </c>
      <c r="E61" s="39" t="inlineStr">
        <is>
          <t>Un gerente de producción</t>
        </is>
      </c>
      <c r="F61" s="39" t="inlineStr">
        <is>
          <t>consulta la web justo después de que un dispositivo sincronizó la jornada</t>
        </is>
      </c>
      <c r="G61" s="39" t="inlineStr">
        <is>
          <t>el canal de sincronización, el procesamiento y los tableros</t>
        </is>
      </c>
      <c r="H61" s="39" t="inlineStr">
        <is>
          <t>al cierre de la jornada, con varios dispositivos sincronizando a la vez</t>
        </is>
      </c>
      <c r="I61" s="39" t="inlineStr">
        <is>
          <t>El sistema refleja el dato sincronizado en la consulta y en el tablero dentro de la misma hora</t>
        </is>
      </c>
      <c r="J61" s="39" t="inlineStr">
        <is>
          <t>1 hora o menos entre la sincronización y la visibilidad en el 95% de los casos, latencia extremo a extremo de 8 días (estado actual) a 1 día o menos y cero datos visibles que no se puedan trazar a su registro base</t>
        </is>
      </c>
      <c r="K61" s="39" t="inlineStr">
        <is>
          <t>Un gerente de producción consulta la web justo después de que un dispositivo sincronizó la jornada, sobre el canal de sincronización, el procesamiento y los tableros, al cierre de la jornada, con varios dispositivos sincronizando a la vez. El sistema refleja el dato sincronizado en la consulta y en el tablero dentro de la misma hora, con 1 hora o menos entre la sincronización y la visibilidad en el 95% de los casos, latencia extremo a extremo de 8 días (estado actual) a 1 día o menos y cero datos visibles que no se puedan trazar a su registro base.</t>
        </is>
      </c>
      <c r="L61" s="39" t="inlineStr">
        <is>
          <t>Se replantea contra la línea base real: hoy la información tarda 8 días en llegar a planeación y gerencia (H-26). Es lo que da sentido a la meta de una hora.</t>
        </is>
      </c>
      <c r="M61" s="39" t="inlineStr">
        <is>
          <t>Administrador de producción y ventas</t>
        </is>
      </c>
      <c r="N61" s="40" t="n"/>
      <c r="O61" s="40" t="n">
        <v>1</v>
      </c>
      <c r="P61" s="40" t="n"/>
      <c r="Q61" s="40" t="n">
        <v>1</v>
      </c>
    </row>
    <row r="62">
      <c r="A62" s="35" t="n">
        <v>61</v>
      </c>
      <c r="B62" s="36" t="inlineStr">
        <is>
          <t>Rendimiento</t>
        </is>
      </c>
      <c r="C62" s="36" t="inlineStr">
        <is>
          <t>¿Se necesita que el rendimiento se mantenga igual en temporada alta que en el resto del año?</t>
        </is>
      </c>
      <c r="D62" s="36" t="inlineStr">
        <is>
          <t>¿Se sostienen los tiempos de respuesta cuando el pico de todas las empresas cae en la misma semana?</t>
        </is>
      </c>
      <c r="E62" s="36" t="inlineStr">
        <is>
          <t>El calendario de la floricultura</t>
        </is>
      </c>
      <c r="F62" s="36" t="inlineStr">
        <is>
          <t>concentra el pico de carga de todas las empresas del servicio en las mismas fechas (San Valentín, Día de la Madre)</t>
        </is>
      </c>
      <c r="G62" s="36" t="inlineStr">
        <is>
          <t>la plataforma multi-empresa y su dimensionamiento (CN-30)</t>
        </is>
      </c>
      <c r="H62" s="36" t="inlineStr">
        <is>
          <t>en temporada alta, con todas las empresas en pico simultáneo</t>
        </is>
      </c>
      <c r="I62" s="36" t="inlineStr">
        <is>
          <t>El sistema mantiene los tiempos de captura, sincronización y consulta dentro de los umbrales del resto del año</t>
        </is>
      </c>
      <c r="J62" s="36" t="inlineStr">
        <is>
          <t>degradación del 20% o menos frente a temporada normal, cero rechazos de sincronización, captura en campo sin afectación por ser offline y umbrales de consulta de 5 segundos o menos sostenidos</t>
        </is>
      </c>
      <c r="K62" s="36" t="inlineStr">
        <is>
          <t>El calendario de la floricultura concentra el pico de carga de todas las empresas del servicio en las mismas fechas (San Valentín, Día de la Madre), sobre la plataforma multi-empresa y su dimensionamiento (CN-30), en temporada alta, con todas las empresas en pico simultáneo. El sistema mantiene los tiempos de captura, sincronización y consulta dentro de los umbrales del resto del año, con degradación del 20% o menos frente a temporada normal, cero rechazos de sincronización, captura en campo sin afectación por ser offline y umbrales de consulta de 5 segundos o menos sostenidos.</t>
        </is>
      </c>
      <c r="L62" s="36" t="inlineStr">
        <is>
          <t>Se replantea reconociendo que el pico no es aleatorio sino de calendario y simultáneo entre clientes: eso cambia el dimensionamiento, no solo la medida.</t>
        </is>
      </c>
      <c r="M62" s="36" t="inlineStr">
        <is>
          <t>Administrador de producción y ventas</t>
        </is>
      </c>
      <c r="N62" s="37" t="n"/>
      <c r="O62" s="37" t="n">
        <v>1</v>
      </c>
      <c r="P62" s="37" t="n"/>
      <c r="Q62" s="37" t="n">
        <v>1</v>
      </c>
    </row>
    <row r="63">
      <c r="A63" s="38" t="n">
        <v>62</v>
      </c>
      <c r="B63" s="39" t="inlineStr">
        <is>
          <t>Capacidad para ser Auditado</t>
        </is>
      </c>
      <c r="C63" s="39" t="inlineStr">
        <is>
          <t>¿Se necesita poder ver la historia completa de un lote a través de varias camas?</t>
        </is>
      </c>
      <c r="D63" s="39" t="inlineStr">
        <is>
          <t>¿Puede seguirse la historia de un lote que atraviesa varias camas y secciones sin perder el detalle?</t>
        </is>
      </c>
      <c r="E63" s="39" t="inlineStr">
        <is>
          <t>Un gerente de producción</t>
        </is>
      </c>
      <c r="F63" s="39" t="inlineStr">
        <is>
          <t>quiere seguir un lote de siembra que ocupa varias camas y secciones</t>
        </is>
      </c>
      <c r="G63" s="39" t="inlineStr">
        <is>
          <t>el modelo de cama dividida en secciones (DEC-14) y la línea de tiempo agregada</t>
        </is>
      </c>
      <c r="H63" s="39" t="inlineStr">
        <is>
          <t>en la consulta web, sobre camas que pueden tener más de una variedad</t>
        </is>
      </c>
      <c r="I63" s="39" t="inlineStr">
        <is>
          <t>El sistema reconstruye la historia del lote agregando las secciones y camas que lo componen, sin perder el detalle de cada una</t>
        </is>
      </c>
      <c r="J63" s="39" t="inlineStr">
        <is>
          <t>100% de las secciones del lote incluidas, suma agregada igual al detalle en el 100% de los casos y descenso al detalle en 3 pasos o menos</t>
        </is>
      </c>
      <c r="K63" s="39" t="inlineStr">
        <is>
          <t>Un gerente de producción quiere seguir un lote de siembra que ocupa varias camas y secciones, sobre el modelo de cama dividida en secciones (DEC-14) y la línea de tiempo agregada, en la consulta web, sobre camas que pueden tener más de una variedad. El sistema reconstruye la historia del lote agregando las secciones y camas que lo componen, sin perder el detalle de cada una, con 100% de las secciones del lote incluidas, suma agregada igual al detalle en el 100% de los casos y descenso al detalle en 3 pasos o menos.</t>
        </is>
      </c>
      <c r="L63" s="39" t="inlineStr">
        <is>
          <t>La nota «*» del original marcaba duda. Se replantea sobre el modelo vigente (la sección es la unidad de siembra) y queda a validar junto con la pregunta 2 de la hoja de sesión: si las camas divididas son raras, el modelo se simplifica.</t>
        </is>
      </c>
      <c r="M63" s="39" t="inlineStr">
        <is>
          <t>Administrador de producción y ventas</t>
        </is>
      </c>
      <c r="N63" s="40" t="n"/>
      <c r="O63" s="40" t="n">
        <v>1</v>
      </c>
      <c r="P63" s="40" t="n"/>
      <c r="Q63" s="40" t="n">
        <v>1</v>
      </c>
    </row>
    <row r="64">
      <c r="A64" s="35" t="n">
        <v>63</v>
      </c>
      <c r="B64" s="36" t="inlineStr">
        <is>
          <t>Capacidad para ser Auditado</t>
        </is>
      </c>
      <c r="C64" s="36" t="inlineStr">
        <is>
          <t>¿Se necesita registrar el motivo cada vez que disminuye la cantidad de plantas o de tallos esperados?</t>
        </is>
      </c>
      <c r="D64" s="36" t="inlineStr">
        <is>
          <t>¿Qué debe quedar registrado y en cuánto tiempo cada vez que se descuenta producción esperada?</t>
        </is>
      </c>
      <c r="E64" s="36" t="inlineStr">
        <is>
          <t>El gerente o ingeniero de producción que decide la baja, o el supervisor que la registra en campo</t>
        </is>
      </c>
      <c r="F64" s="36" t="inlineStr">
        <is>
          <t>registra una baja o una erradicación que reduce la producción esperada de una cama</t>
        </is>
      </c>
      <c r="G64" s="36" t="inlineStr">
        <is>
          <t>el catálogo de motivos y el evento de baja sobre la proyección</t>
        </is>
      </c>
      <c r="H64" s="36" t="inlineStr">
        <is>
          <t>en operación normal, con erradicaciones que pueden ocurrir semanalmente</t>
        </is>
      </c>
      <c r="I64" s="36" t="inlineStr">
        <is>
          <t>El sistema exige un motivo del catálogo, resta la producción proyectada pendiente y deja el evento en bitácora con autor y fecha</t>
        </is>
      </c>
      <c r="J64" s="36" t="inlineStr">
        <is>
          <t>100% de bajas con motivo, autor y fecha, resta reflejada en la proyección en 1 día o menos —hoy tarda una semana— y cero bajas registradas sin motivo</t>
        </is>
      </c>
      <c r="K64" s="36" t="inlineStr">
        <is>
          <t>El gerente o ingeniero de producción que decide la baja, o el supervisor que la registra en campo, registra una baja o una erradicación que reduce la producción esperada de una cama, sobre el catálogo de motivos y el evento de baja sobre la proyección, en operación normal, con erradicaciones que pueden ocurrir semanalmente. El sistema exige un motivo del catálogo, resta la producción proyectada pendiente y deja el evento en bitácora con autor y fecha, con 100% de bajas con motivo, autor y fecha, resta reflejada en la proyección en 1 día o menos —hoy tarda una semana— y cero bajas registradas sin motivo.</t>
        </is>
      </c>
      <c r="L64" s="36" t="inlineStr">
        <is>
          <t>Era un campo obligatorio. Se replantea como auditabilidad con la brecha que declaró el cliente: «la idea es que sea de un día para otro, hoy pasa cada semana» (RF-C10).</t>
        </is>
      </c>
      <c r="M64" s="36" t="inlineStr">
        <is>
          <t>Administrador de producción y ventas</t>
        </is>
      </c>
      <c r="N64" s="37" t="n"/>
      <c r="O64" s="37" t="n">
        <v>1</v>
      </c>
      <c r="P64" s="37" t="n"/>
      <c r="Q64" s="37" t="n">
        <v>1</v>
      </c>
    </row>
    <row r="65">
      <c r="A65" s="38" t="n">
        <v>64</v>
      </c>
      <c r="B65" s="39" t="inlineStr">
        <is>
          <t>Capacidad</t>
        </is>
      </c>
      <c r="C65" s="39" t="inlineStr">
        <is>
          <t>¿Se necesita que el sistema soporte varias fincas de la misma empresa?</t>
        </is>
      </c>
      <c r="D65" s="39" t="inlineStr">
        <is>
          <t>¿Cómo se separa y se agrega la información de varias fincas de una misma empresa sin mezclarlas?</t>
        </is>
      </c>
      <c r="E65" s="39" t="inlineStr">
        <is>
          <t>Un gerente de producción de una empresa con más de una finca</t>
        </is>
      </c>
      <c r="F65" s="39" t="inlineStr">
        <is>
          <t>consulta y proyecta sobre dos o más fincas de la misma empresa</t>
        </is>
      </c>
      <c r="G65" s="39" t="inlineStr">
        <is>
          <t>el modelo de datos multi-finca dentro de la base de datos de la empresa (DEC-11)</t>
        </is>
      </c>
      <c r="H65" s="39" t="inlineStr">
        <is>
          <t>en operación normal, con varias fincas activas al mismo tiempo</t>
        </is>
      </c>
      <c r="I65" s="39" t="inlineStr">
        <is>
          <t>El sistema separa y agrega la información por finca sin mezclar catálogos ni parámetros y sin degradar los tiempos de consulta</t>
        </is>
      </c>
      <c r="J65" s="39" t="inlineStr">
        <is>
          <t>cero cruces de datos entre fincas, agregación multi-finca conciliable al 100% con el detalle por finca y tiempos de consulta dentro de los mismos umbrales</t>
        </is>
      </c>
      <c r="K65" s="39" t="inlineStr">
        <is>
          <t>Un gerente de producción de una empresa con más de una finca consulta y proyecta sobre dos o más fincas de la misma empresa, sobre el modelo de datos multi-finca dentro de la base de datos de la empresa (DEC-11), en operación normal, con varias fincas activas al mismo tiempo. El sistema separa y agrega la información por finca sin mezclar catálogos ni parámetros y sin degradar los tiempos de consulta, con cero cruces de datos entre fincas, agregación multi-finca conciliable al 100% con el detalle por finca y tiempos de consulta dentro de los mismos umbrales.</t>
        </is>
      </c>
      <c r="L65" s="39" t="inlineStr">
        <is>
          <t>Se replantea como capacidad estructural, distinta de la separación entre empresas de DEC-11: aquí no hay aislamiento por base de datos, y por eso la medida es la ausencia de cruce.</t>
        </is>
      </c>
      <c r="M65" s="39" t="inlineStr">
        <is>
          <t>Administrador de producción y ventas</t>
        </is>
      </c>
      <c r="N65" s="40" t="n"/>
      <c r="O65" s="40" t="n">
        <v>1</v>
      </c>
      <c r="P65" s="40" t="n"/>
      <c r="Q65" s="40" t="n">
        <v>1</v>
      </c>
    </row>
    <row r="66">
      <c r="A66" s="35" t="n">
        <v>65</v>
      </c>
      <c r="B66" s="36" t="inlineStr">
        <is>
          <t>Capacidad</t>
        </is>
      </c>
      <c r="C66" s="36" t="inlineStr">
        <is>
          <t>¿Se necesita que el dispositivo tenga descargado todo el catálogo de la finca antes de salir a capturar?</t>
        </is>
      </c>
      <c r="D66" s="36" t="inlineStr">
        <is>
          <t>¿Qué debe tener descargado y verificado el dispositivo antes de entrar a una zona sin cobertura?</t>
        </is>
      </c>
      <c r="E66" s="36" t="inlineStr">
        <is>
          <t>Un supervisor de campo</t>
        </is>
      </c>
      <c r="F66" s="36" t="inlineStr">
        <is>
          <t>prepara su dispositivo antes de entrar al área de cultivo y necesita en él el catálogo vigente de la finca (CN-26)</t>
        </is>
      </c>
      <c r="G66" s="36" t="inlineStr">
        <is>
          <t>el catálogo local: bloques, naves, camas, secciones, variedades, reglas y grados</t>
        </is>
      </c>
      <c r="H66" s="36" t="inlineStr">
        <is>
          <t>en la última conexión disponible antes de entrar al área sin cobertura</t>
        </is>
      </c>
      <c r="I66" s="36" t="inlineStr">
        <is>
          <t>El sistema descarga y verifica el catálogo vigente y avisa si está desactualizado o incompleto antes de que el usuario salga</t>
        </is>
      </c>
      <c r="J66" s="36" t="inlineStr">
        <is>
          <t>catálogo de ~1.525 camas descargado y verificado en 2 minutos o menos, aviso de desactualización antes de iniciar la jornada en el 100% de los casos y cero capturas iniciadas con catálogo incompleto</t>
        </is>
      </c>
      <c r="K66" s="36" t="inlineStr">
        <is>
          <t>Un supervisor de campo prepara su dispositivo antes de entrar al área de cultivo y necesita en él el catálogo vigente de la finca (CN-26), sobre el catálogo local: bloques, naves, camas, secciones, variedades, reglas y grados, en la última conexión disponible antes de entrar al área sin cobertura. El sistema descarga y verifica el catálogo vigente y avisa si está desactualizado o incompleto antes de que el usuario salga, con catálogo de ~1.525 camas descargado y verificado en 2 minutos o menos, aviso de desactualización antes de iniciar la jornada en el 100% de los casos y cero capturas iniciadas con catálogo incompleto.</t>
        </is>
      </c>
      <c r="L66" s="36" t="inlineStr">
        <is>
          <t>Era una precondición técnica. Se replantea como escenario con el volumen real de la finca y con la verificación previa como respuesta: sin catálogo local no hay validación ni identificación de cama.</t>
        </is>
      </c>
      <c r="M66" s="36" t="inlineStr">
        <is>
          <t>Administrador del sistema</t>
        </is>
      </c>
      <c r="N66" s="37" t="n"/>
      <c r="O66" s="37" t="n"/>
      <c r="P66" s="37" t="n">
        <v>1</v>
      </c>
      <c r="Q66" s="37" t="n">
        <v>1</v>
      </c>
    </row>
    <row r="68">
      <c r="A68" s="41" t="inlineStr">
        <is>
          <t>Cómo leer esta hoja. Cada fila es uno de los 65 escenarios priorizados en 'Top 65 - Priorizadas', replanteado como escenario de calidad y no como funcionalidad, siguiendo el ejemplo corregido de 'escenarios de calidad.xlsx'. Las seis partes (fuente, estímulo, artefacto, entorno, respuesta y medida de respuesta) se concatenan en la columna 'Escenario de calidad'. La columna 'Observaciones' documenta de forma breve qué se corrigió del planteamiento original y con qué evidencia. Roles: el puntaje viene del reparto de 65 puntos que hizo cada rol en la hoja '3. Caracterización'; 'Tomador de datos' es el Supervisor de campo (el supervisor y los 2 auxiliares), 'Producción' es el Administrador de producción y ventas (gerencia, planeación, ventas, producción) y 'Administrador' es el Administrador del sistema o superusuario (el ingeniero de sistemas), según la sección 5 de 0_CONTEXTO_v3.md. Las medidas de respuesta se tomaron de fuentes del proyecto y no de cifras genéricas: DEC-12/CN-15 (pérdida CERO, fallo 1 hora, restauración 1 día), RN-12 (banda ±10%), RF-C19 (error de captura 2% → 0%), H-26 (8 días de latencia actual), H-24 (1 hora diaria en papel), H-03 (~1.525 camas) y el catálogo de restricciones CN-12 a CN-35. Puntos abiertos que quedan marcados en las observaciones y NO se rellenaron con supuestos: BR-N1 (tiempo y toques máximos de captura, los 3 s son un boceto de S2 sin validar), BR-N4 (si dos personas capturan la misma cama alguna vez), BR-N5 (duración de la ventana de sesión offline), BR-21 (a qué nivel se mide el −6% y a qué nivel el ±10%), rango 16 (on-premise: desacuerdo entre arquitectos y choque con el modelo SaaS de DEC-01), rango 19 (prueba de respaldos: el cliente dijo NO) y rango 54 (pérdida física del dispositivo, pregunta abierta en el cierre de HOJA_SESION_CLIENTE.md).</t>
        </is>
      </c>
    </row>
    <row r="69"/>
    <row r="70"/>
    <row r="71"/>
    <row r="72"/>
    <row r="73"/>
    <row r="74"/>
  </sheetData>
  <autoFilter ref="A1:Q66"/>
  <mergeCells count="1">
    <mergeCell ref="A68:L74"/>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C3" sqref="C3"/>
    </sheetView>
  </sheetViews>
  <sheetFormatPr baseColWidth="10" defaultColWidth="9.06640625" defaultRowHeight="14.25"/>
  <cols>
    <col width="7" customWidth="1" style="33" min="1" max="1"/>
    <col width="26" customWidth="1" style="33" min="2" max="2"/>
    <col width="70" customWidth="1" style="33" min="3" max="3"/>
    <col width="15" customWidth="1" style="33" min="4" max="4"/>
    <col width="12" customWidth="1" style="33" min="5" max="5"/>
    <col width="14" customWidth="1" style="33" min="6" max="6"/>
    <col width="12" customWidth="1" style="33" min="7" max="7"/>
  </cols>
  <sheetData>
    <row r="1" ht="27.75" customHeight="1" s="33">
      <c r="A1" s="23" t="inlineStr">
        <is>
          <t>Rank</t>
        </is>
      </c>
      <c r="B1" s="23" t="inlineStr">
        <is>
          <t>Atributo de calidad</t>
        </is>
      </c>
      <c r="C1" s="23" t="inlineStr">
        <is>
          <t>Pregunta</t>
        </is>
      </c>
      <c r="D1" s="23" t="inlineStr">
        <is>
          <t>Tomador de datos</t>
        </is>
      </c>
      <c r="E1" s="23" t="inlineStr">
        <is>
          <t>Producción</t>
        </is>
      </c>
      <c r="F1" s="23" t="inlineStr">
        <is>
          <t>Administrador</t>
        </is>
      </c>
      <c r="G1" s="23" t="inlineStr">
        <is>
          <t>Puntaje Total</t>
        </is>
      </c>
    </row>
    <row r="2">
      <c r="A2" t="n">
        <v>1</v>
      </c>
      <c r="B2">
        <f>'3. Caracterización'!A44</f>
        <v/>
      </c>
      <c r="C2" s="32">
        <f>'3. Caracterización'!B44</f>
        <v/>
      </c>
      <c r="D2">
        <f>'3. Caracterización'!G44</f>
        <v/>
      </c>
      <c r="E2">
        <f>'3. Caracterización'!H44</f>
        <v/>
      </c>
      <c r="F2">
        <f>'3. Caracterización'!I44</f>
        <v/>
      </c>
      <c r="G2">
        <f>SUM(D2:F2)</f>
        <v/>
      </c>
    </row>
    <row r="3">
      <c r="A3" t="n">
        <v>2</v>
      </c>
      <c r="B3">
        <f>'3. Caracterización'!A11</f>
        <v/>
      </c>
      <c r="C3" s="32">
        <f>'3. Caracterización'!B11</f>
        <v/>
      </c>
      <c r="D3">
        <f>'3. Caracterización'!G11</f>
        <v/>
      </c>
      <c r="E3">
        <f>'3. Caracterización'!H11</f>
        <v/>
      </c>
      <c r="F3">
        <f>'3. Caracterización'!I11</f>
        <v/>
      </c>
      <c r="G3">
        <f>SUM(D3:F3)</f>
        <v/>
      </c>
    </row>
    <row r="4">
      <c r="A4" t="n">
        <v>3</v>
      </c>
      <c r="B4">
        <f>'3. Caracterización'!A49</f>
        <v/>
      </c>
      <c r="C4" s="32">
        <f>'3. Caracterización'!B49</f>
        <v/>
      </c>
      <c r="D4">
        <f>'3. Caracterización'!G49</f>
        <v/>
      </c>
      <c r="E4">
        <f>'3. Caracterización'!H49</f>
        <v/>
      </c>
      <c r="F4">
        <f>'3. Caracterización'!I49</f>
        <v/>
      </c>
      <c r="G4">
        <f>SUM(D4:F4)</f>
        <v/>
      </c>
    </row>
    <row r="5">
      <c r="A5" t="n">
        <v>4</v>
      </c>
      <c r="B5">
        <f>'3. Caracterización'!A59</f>
        <v/>
      </c>
      <c r="C5" s="32">
        <f>'3. Caracterización'!B59</f>
        <v/>
      </c>
      <c r="D5">
        <f>'3. Caracterización'!G59</f>
        <v/>
      </c>
      <c r="E5">
        <f>'3. Caracterización'!H59</f>
        <v/>
      </c>
      <c r="F5">
        <f>'3. Caracterización'!I59</f>
        <v/>
      </c>
      <c r="G5">
        <f>SUM(D5:F5)</f>
        <v/>
      </c>
    </row>
    <row r="6">
      <c r="A6" t="n">
        <v>5</v>
      </c>
      <c r="B6">
        <f>'3. Caracterización'!A95</f>
        <v/>
      </c>
      <c r="C6" s="32">
        <f>'3. Caracterización'!B95</f>
        <v/>
      </c>
      <c r="D6">
        <f>'3. Caracterización'!G95</f>
        <v/>
      </c>
      <c r="E6">
        <f>'3. Caracterización'!H95</f>
        <v/>
      </c>
      <c r="F6">
        <f>'3. Caracterización'!I95</f>
        <v/>
      </c>
      <c r="G6">
        <f>SUM(D6:F6)</f>
        <v/>
      </c>
    </row>
    <row r="7">
      <c r="A7" t="n">
        <v>6</v>
      </c>
      <c r="B7">
        <f>'3. Caracterización'!A162</f>
        <v/>
      </c>
      <c r="C7" s="32">
        <f>'3. Caracterización'!B162</f>
        <v/>
      </c>
      <c r="D7">
        <f>'3. Caracterización'!G162</f>
        <v/>
      </c>
      <c r="E7">
        <f>'3. Caracterización'!H162</f>
        <v/>
      </c>
      <c r="F7">
        <f>'3. Caracterización'!I162</f>
        <v/>
      </c>
      <c r="G7">
        <f>SUM(D7:F7)</f>
        <v/>
      </c>
    </row>
    <row r="8">
      <c r="A8" t="n">
        <v>7</v>
      </c>
      <c r="B8">
        <f>'3. Caracterización'!A14</f>
        <v/>
      </c>
      <c r="C8" s="32">
        <f>'3. Caracterización'!B14</f>
        <v/>
      </c>
      <c r="D8">
        <f>'3. Caracterización'!G14</f>
        <v/>
      </c>
      <c r="E8">
        <f>'3. Caracterización'!H14</f>
        <v/>
      </c>
      <c r="F8">
        <f>'3. Caracterización'!I14</f>
        <v/>
      </c>
      <c r="G8">
        <f>SUM(D8:F8)</f>
        <v/>
      </c>
    </row>
    <row r="9">
      <c r="A9" t="n">
        <v>8</v>
      </c>
      <c r="B9">
        <f>'3. Caracterización'!A27</f>
        <v/>
      </c>
      <c r="C9" s="32">
        <f>'3. Caracterización'!B27</f>
        <v/>
      </c>
      <c r="D9">
        <f>'3. Caracterización'!G27</f>
        <v/>
      </c>
      <c r="E9">
        <f>'3. Caracterización'!H27</f>
        <v/>
      </c>
      <c r="F9">
        <f>'3. Caracterización'!I27</f>
        <v/>
      </c>
      <c r="G9">
        <f>SUM(D9:F9)</f>
        <v/>
      </c>
    </row>
    <row r="10">
      <c r="A10" t="n">
        <v>9</v>
      </c>
      <c r="B10">
        <f>'3. Caracterización'!A35</f>
        <v/>
      </c>
      <c r="C10" s="32">
        <f>'3. Caracterización'!B35</f>
        <v/>
      </c>
      <c r="D10">
        <f>'3. Caracterización'!G35</f>
        <v/>
      </c>
      <c r="E10">
        <f>'3. Caracterización'!H35</f>
        <v/>
      </c>
      <c r="F10">
        <f>'3. Caracterización'!I35</f>
        <v/>
      </c>
      <c r="G10">
        <f>SUM(D10:F10)</f>
        <v/>
      </c>
    </row>
    <row r="11">
      <c r="A11" t="n">
        <v>10</v>
      </c>
      <c r="B11">
        <f>'3. Caracterización'!A37</f>
        <v/>
      </c>
      <c r="C11" s="32">
        <f>'3. Caracterización'!B37</f>
        <v/>
      </c>
      <c r="D11">
        <f>'3. Caracterización'!G37</f>
        <v/>
      </c>
      <c r="E11">
        <f>'3. Caracterización'!H37</f>
        <v/>
      </c>
      <c r="F11">
        <f>'3. Caracterización'!I37</f>
        <v/>
      </c>
      <c r="G11">
        <f>SUM(D11:F11)</f>
        <v/>
      </c>
    </row>
    <row r="12">
      <c r="A12" t="n">
        <v>11</v>
      </c>
      <c r="B12">
        <f>'3. Caracterización'!A45</f>
        <v/>
      </c>
      <c r="C12" s="32">
        <f>'3. Caracterización'!B45</f>
        <v/>
      </c>
      <c r="D12">
        <f>'3. Caracterización'!G45</f>
        <v/>
      </c>
      <c r="E12">
        <f>'3. Caracterización'!H45</f>
        <v/>
      </c>
      <c r="F12">
        <f>'3. Caracterización'!I45</f>
        <v/>
      </c>
      <c r="G12">
        <f>SUM(D12:F12)</f>
        <v/>
      </c>
    </row>
    <row r="13">
      <c r="A13" t="n">
        <v>12</v>
      </c>
      <c r="B13">
        <f>'3. Caracterización'!A107</f>
        <v/>
      </c>
      <c r="C13" s="32">
        <f>'3. Caracterización'!B107</f>
        <v/>
      </c>
      <c r="D13">
        <f>'3. Caracterización'!G107</f>
        <v/>
      </c>
      <c r="E13">
        <f>'3. Caracterización'!H107</f>
        <v/>
      </c>
      <c r="F13">
        <f>'3. Caracterización'!I107</f>
        <v/>
      </c>
      <c r="G13">
        <f>SUM(D13:F13)</f>
        <v/>
      </c>
    </row>
    <row r="14">
      <c r="A14" t="n">
        <v>13</v>
      </c>
      <c r="B14">
        <f>'3. Caracterización'!A147</f>
        <v/>
      </c>
      <c r="C14" s="32">
        <f>'3. Caracterización'!B147</f>
        <v/>
      </c>
      <c r="D14">
        <f>'3. Caracterización'!G147</f>
        <v/>
      </c>
      <c r="E14">
        <f>'3. Caracterización'!H147</f>
        <v/>
      </c>
      <c r="F14">
        <f>'3. Caracterización'!I147</f>
        <v/>
      </c>
      <c r="G14">
        <f>SUM(D14:F14)</f>
        <v/>
      </c>
    </row>
    <row r="15">
      <c r="A15" t="n">
        <v>14</v>
      </c>
      <c r="B15">
        <f>'3. Caracterización'!A161</f>
        <v/>
      </c>
      <c r="C15" s="32">
        <f>'3. Caracterización'!B161</f>
        <v/>
      </c>
      <c r="D15">
        <f>'3. Caracterización'!G161</f>
        <v/>
      </c>
      <c r="E15">
        <f>'3. Caracterización'!H161</f>
        <v/>
      </c>
      <c r="F15">
        <f>'3. Caracterización'!I161</f>
        <v/>
      </c>
      <c r="G15">
        <f>SUM(D15:F15)</f>
        <v/>
      </c>
    </row>
    <row r="16">
      <c r="A16" t="n">
        <v>15</v>
      </c>
      <c r="B16">
        <f>'3. Caracterización'!A165</f>
        <v/>
      </c>
      <c r="C16" s="32">
        <f>'3. Caracterización'!B165</f>
        <v/>
      </c>
      <c r="D16">
        <f>'3. Caracterización'!G165</f>
        <v/>
      </c>
      <c r="E16">
        <f>'3. Caracterización'!H165</f>
        <v/>
      </c>
      <c r="F16">
        <f>'3. Caracterización'!I165</f>
        <v/>
      </c>
      <c r="G16">
        <f>SUM(D16:F16)</f>
        <v/>
      </c>
    </row>
    <row r="17">
      <c r="A17" t="n">
        <v>16</v>
      </c>
      <c r="B17">
        <f>'3. Caracterización'!A248</f>
        <v/>
      </c>
      <c r="C17" s="32">
        <f>'3. Caracterización'!B248</f>
        <v/>
      </c>
      <c r="D17">
        <f>'3. Caracterización'!G248</f>
        <v/>
      </c>
      <c r="E17">
        <f>'3. Caracterización'!H248</f>
        <v/>
      </c>
      <c r="F17">
        <f>'3. Caracterización'!I248</f>
        <v/>
      </c>
      <c r="G17">
        <f>SUM(D17:F17)</f>
        <v/>
      </c>
    </row>
    <row r="18" ht="28.5" customHeight="1" s="33">
      <c r="A18" t="n">
        <v>17</v>
      </c>
      <c r="B18">
        <f>'3. Caracterización'!A19</f>
        <v/>
      </c>
      <c r="C18" s="32">
        <f>'3. Caracterización'!B19</f>
        <v/>
      </c>
      <c r="D18">
        <f>'3. Caracterización'!G19</f>
        <v/>
      </c>
      <c r="E18">
        <f>'3. Caracterización'!H19</f>
        <v/>
      </c>
      <c r="F18">
        <f>'3. Caracterización'!I19</f>
        <v/>
      </c>
      <c r="G18">
        <f>SUM(D18:F18)</f>
        <v/>
      </c>
    </row>
    <row r="19" ht="28.5" customHeight="1" s="33">
      <c r="A19" t="n">
        <v>18</v>
      </c>
      <c r="B19">
        <f>'3. Caracterización'!A46</f>
        <v/>
      </c>
      <c r="C19" s="32">
        <f>'3. Caracterización'!B46</f>
        <v/>
      </c>
      <c r="D19">
        <f>'3. Caracterización'!G46</f>
        <v/>
      </c>
      <c r="E19">
        <f>'3. Caracterización'!H46</f>
        <v/>
      </c>
      <c r="F19">
        <f>'3. Caracterización'!I46</f>
        <v/>
      </c>
      <c r="G19">
        <f>SUM(D19:F19)</f>
        <v/>
      </c>
    </row>
    <row r="20" ht="28.5" customHeight="1" s="33">
      <c r="A20" t="n">
        <v>19</v>
      </c>
      <c r="B20">
        <f>'3. Caracterización'!A57</f>
        <v/>
      </c>
      <c r="C20" s="32">
        <f>'3. Caracterización'!B57</f>
        <v/>
      </c>
      <c r="D20">
        <f>'3. Caracterización'!G57</f>
        <v/>
      </c>
      <c r="E20">
        <f>'3. Caracterización'!H57</f>
        <v/>
      </c>
      <c r="F20">
        <f>'3. Caracterización'!I57</f>
        <v/>
      </c>
      <c r="G20">
        <f>SUM(D20:F20)</f>
        <v/>
      </c>
    </row>
    <row r="21" ht="28.5" customHeight="1" s="33">
      <c r="A21" t="n">
        <v>20</v>
      </c>
      <c r="B21">
        <f>'3. Caracterización'!A78</f>
        <v/>
      </c>
      <c r="C21" s="32">
        <f>'3. Caracterización'!B78</f>
        <v/>
      </c>
      <c r="D21">
        <f>'3. Caracterización'!G78</f>
        <v/>
      </c>
      <c r="E21">
        <f>'3. Caracterización'!H78</f>
        <v/>
      </c>
      <c r="F21">
        <f>'3. Caracterización'!I78</f>
        <v/>
      </c>
      <c r="G21">
        <f>SUM(D21:F21)</f>
        <v/>
      </c>
    </row>
    <row r="22" ht="28.5" customHeight="1" s="33">
      <c r="A22" t="n">
        <v>21</v>
      </c>
      <c r="B22">
        <f>'3. Caracterización'!A145</f>
        <v/>
      </c>
      <c r="C22" s="32">
        <f>'3. Caracterización'!B145</f>
        <v/>
      </c>
      <c r="D22">
        <f>'3. Caracterización'!G145</f>
        <v/>
      </c>
      <c r="E22">
        <f>'3. Caracterización'!H145</f>
        <v/>
      </c>
      <c r="F22">
        <f>'3. Caracterización'!I145</f>
        <v/>
      </c>
      <c r="G22">
        <f>SUM(D22:F22)</f>
        <v/>
      </c>
    </row>
    <row r="23">
      <c r="A23" t="n">
        <v>22</v>
      </c>
      <c r="B23">
        <f>'3. Caracterización'!A148</f>
        <v/>
      </c>
      <c r="C23" s="32">
        <f>'3. Caracterización'!B148</f>
        <v/>
      </c>
      <c r="D23">
        <f>'3. Caracterización'!G148</f>
        <v/>
      </c>
      <c r="E23">
        <f>'3. Caracterización'!H148</f>
        <v/>
      </c>
      <c r="F23">
        <f>'3. Caracterización'!I148</f>
        <v/>
      </c>
      <c r="G23">
        <f>SUM(D23:F23)</f>
        <v/>
      </c>
    </row>
    <row r="24">
      <c r="A24" t="n">
        <v>23</v>
      </c>
      <c r="B24">
        <f>'3. Caracterización'!A151</f>
        <v/>
      </c>
      <c r="C24" s="32">
        <f>'3. Caracterización'!B151</f>
        <v/>
      </c>
      <c r="D24">
        <f>'3. Caracterización'!G151</f>
        <v/>
      </c>
      <c r="E24">
        <f>'3. Caracterización'!H151</f>
        <v/>
      </c>
      <c r="F24">
        <f>'3. Caracterización'!I151</f>
        <v/>
      </c>
      <c r="G24">
        <f>SUM(D24:F24)</f>
        <v/>
      </c>
    </row>
    <row r="25" ht="28.5" customHeight="1" s="33">
      <c r="A25" t="n">
        <v>24</v>
      </c>
      <c r="B25">
        <f>'3. Caracterización'!A153</f>
        <v/>
      </c>
      <c r="C25" s="32">
        <f>'3. Caracterización'!B153</f>
        <v/>
      </c>
      <c r="D25">
        <f>'3. Caracterización'!G153</f>
        <v/>
      </c>
      <c r="E25">
        <f>'3. Caracterización'!H153</f>
        <v/>
      </c>
      <c r="F25">
        <f>'3. Caracterización'!I153</f>
        <v/>
      </c>
      <c r="G25">
        <f>SUM(D25:F25)</f>
        <v/>
      </c>
    </row>
    <row r="26" ht="28.5" customHeight="1" s="33">
      <c r="A26" t="n">
        <v>25</v>
      </c>
      <c r="B26">
        <f>'3. Caracterización'!A158</f>
        <v/>
      </c>
      <c r="C26" s="32">
        <f>'3. Caracterización'!B158</f>
        <v/>
      </c>
      <c r="D26">
        <f>'3. Caracterización'!G158</f>
        <v/>
      </c>
      <c r="E26">
        <f>'3. Caracterización'!H158</f>
        <v/>
      </c>
      <c r="F26">
        <f>'3. Caracterización'!I158</f>
        <v/>
      </c>
      <c r="G26">
        <f>SUM(D26:F26)</f>
        <v/>
      </c>
    </row>
    <row r="27" ht="28.5" customHeight="1" s="33">
      <c r="A27" t="n">
        <v>26</v>
      </c>
      <c r="B27">
        <f>'3. Caracterización'!A167</f>
        <v/>
      </c>
      <c r="C27" s="32">
        <f>'3. Caracterización'!B167</f>
        <v/>
      </c>
      <c r="D27">
        <f>'3. Caracterización'!G167</f>
        <v/>
      </c>
      <c r="E27">
        <f>'3. Caracterización'!H167</f>
        <v/>
      </c>
      <c r="F27">
        <f>'3. Caracterización'!I167</f>
        <v/>
      </c>
      <c r="G27">
        <f>SUM(D27:F27)</f>
        <v/>
      </c>
    </row>
    <row r="28" ht="28.5" customHeight="1" s="33">
      <c r="A28" t="n">
        <v>27</v>
      </c>
      <c r="B28">
        <f>'3. Caracterización'!A174</f>
        <v/>
      </c>
      <c r="C28" s="32">
        <f>'3. Caracterización'!B174</f>
        <v/>
      </c>
      <c r="D28">
        <f>'3. Caracterización'!G174</f>
        <v/>
      </c>
      <c r="E28">
        <f>'3. Caracterización'!H174</f>
        <v/>
      </c>
      <c r="F28">
        <f>'3. Caracterización'!I174</f>
        <v/>
      </c>
      <c r="G28">
        <f>SUM(D28:F28)</f>
        <v/>
      </c>
    </row>
    <row r="29">
      <c r="A29" t="n">
        <v>28</v>
      </c>
      <c r="B29">
        <f>'3. Caracterización'!A183</f>
        <v/>
      </c>
      <c r="C29" s="32">
        <f>'3. Caracterización'!B183</f>
        <v/>
      </c>
      <c r="D29">
        <f>'3. Caracterización'!G183</f>
        <v/>
      </c>
      <c r="E29">
        <f>'3. Caracterización'!H183</f>
        <v/>
      </c>
      <c r="F29">
        <f>'3. Caracterización'!I183</f>
        <v/>
      </c>
      <c r="G29">
        <f>SUM(D29:F29)</f>
        <v/>
      </c>
    </row>
    <row r="30" ht="28.5" customHeight="1" s="33">
      <c r="A30" t="n">
        <v>29</v>
      </c>
      <c r="B30">
        <f>'3. Caracterización'!A209</f>
        <v/>
      </c>
      <c r="C30" s="32">
        <f>'3. Caracterización'!B209</f>
        <v/>
      </c>
      <c r="D30">
        <f>'3. Caracterización'!G209</f>
        <v/>
      </c>
      <c r="E30">
        <f>'3. Caracterización'!H209</f>
        <v/>
      </c>
      <c r="F30">
        <f>'3. Caracterización'!I209</f>
        <v/>
      </c>
      <c r="G30">
        <f>SUM(D30:F30)</f>
        <v/>
      </c>
    </row>
    <row r="31">
      <c r="A31" t="n">
        <v>30</v>
      </c>
      <c r="B31">
        <f>'3. Caracterización'!A229</f>
        <v/>
      </c>
      <c r="C31" s="32">
        <f>'3. Caracterización'!B229</f>
        <v/>
      </c>
      <c r="D31">
        <f>'3. Caracterización'!G229</f>
        <v/>
      </c>
      <c r="E31">
        <f>'3. Caracterización'!H229</f>
        <v/>
      </c>
      <c r="F31">
        <f>'3. Caracterización'!I229</f>
        <v/>
      </c>
      <c r="G31">
        <f>SUM(D31:F31)</f>
        <v/>
      </c>
    </row>
    <row r="32">
      <c r="A32" t="n">
        <v>31</v>
      </c>
      <c r="B32">
        <f>'3. Caracterización'!A230</f>
        <v/>
      </c>
      <c r="C32" s="32">
        <f>'3. Caracterización'!B230</f>
        <v/>
      </c>
      <c r="D32">
        <f>'3. Caracterización'!G230</f>
        <v/>
      </c>
      <c r="E32">
        <f>'3. Caracterización'!H230</f>
        <v/>
      </c>
      <c r="F32">
        <f>'3. Caracterización'!I230</f>
        <v/>
      </c>
      <c r="G32">
        <f>SUM(D32:F32)</f>
        <v/>
      </c>
    </row>
    <row r="33">
      <c r="A33" t="n">
        <v>32</v>
      </c>
      <c r="B33">
        <f>'3. Caracterización'!A237</f>
        <v/>
      </c>
      <c r="C33" s="32">
        <f>'3. Caracterización'!B237</f>
        <v/>
      </c>
      <c r="D33">
        <f>'3. Caracterización'!G237</f>
        <v/>
      </c>
      <c r="E33">
        <f>'3. Caracterización'!H237</f>
        <v/>
      </c>
      <c r="F33">
        <f>'3. Caracterización'!I237</f>
        <v/>
      </c>
      <c r="G33">
        <f>SUM(D33:F33)</f>
        <v/>
      </c>
    </row>
    <row r="34" ht="28.5" customHeight="1" s="33">
      <c r="A34" t="n">
        <v>33</v>
      </c>
      <c r="B34">
        <f>'3. Caracterización'!A7</f>
        <v/>
      </c>
      <c r="C34" s="32">
        <f>'3. Caracterización'!B7</f>
        <v/>
      </c>
      <c r="D34">
        <f>'3. Caracterización'!G7</f>
        <v/>
      </c>
      <c r="E34">
        <f>'3. Caracterización'!H7</f>
        <v/>
      </c>
      <c r="F34">
        <f>'3. Caracterización'!I7</f>
        <v/>
      </c>
      <c r="G34">
        <f>SUM(D34:F34)</f>
        <v/>
      </c>
    </row>
    <row r="35" ht="28.5" customHeight="1" s="33">
      <c r="A35" t="n">
        <v>34</v>
      </c>
      <c r="B35">
        <f>'3. Caracterización'!A16</f>
        <v/>
      </c>
      <c r="C35" s="32">
        <f>'3. Caracterización'!B16</f>
        <v/>
      </c>
      <c r="D35">
        <f>'3. Caracterización'!G16</f>
        <v/>
      </c>
      <c r="E35">
        <f>'3. Caracterización'!H16</f>
        <v/>
      </c>
      <c r="F35">
        <f>'3. Caracterización'!I16</f>
        <v/>
      </c>
      <c r="G35">
        <f>SUM(D35:F35)</f>
        <v/>
      </c>
    </row>
    <row r="36" ht="28.5" customHeight="1" s="33">
      <c r="A36" t="n">
        <v>35</v>
      </c>
      <c r="B36">
        <f>'3. Caracterización'!A58</f>
        <v/>
      </c>
      <c r="C36" s="32">
        <f>'3. Caracterización'!B58</f>
        <v/>
      </c>
      <c r="D36">
        <f>'3. Caracterización'!G58</f>
        <v/>
      </c>
      <c r="E36">
        <f>'3. Caracterización'!H58</f>
        <v/>
      </c>
      <c r="F36">
        <f>'3. Caracterización'!I58</f>
        <v/>
      </c>
      <c r="G36">
        <f>SUM(D36:F36)</f>
        <v/>
      </c>
    </row>
    <row r="37">
      <c r="A37" t="n">
        <v>36</v>
      </c>
      <c r="B37">
        <f>'3. Caracterización'!A84</f>
        <v/>
      </c>
      <c r="C37" s="32">
        <f>'3. Caracterización'!B84</f>
        <v/>
      </c>
      <c r="D37">
        <f>'3. Caracterización'!G84</f>
        <v/>
      </c>
      <c r="E37">
        <f>'3. Caracterización'!H84</f>
        <v/>
      </c>
      <c r="F37">
        <f>'3. Caracterización'!I84</f>
        <v/>
      </c>
      <c r="G37">
        <f>SUM(D37:F37)</f>
        <v/>
      </c>
    </row>
    <row r="38">
      <c r="A38" t="n">
        <v>37</v>
      </c>
      <c r="B38">
        <f>'3. Caracterización'!A85</f>
        <v/>
      </c>
      <c r="C38" s="32">
        <f>'3. Caracterización'!B85</f>
        <v/>
      </c>
      <c r="D38">
        <f>'3. Caracterización'!G85</f>
        <v/>
      </c>
      <c r="E38">
        <f>'3. Caracterización'!H85</f>
        <v/>
      </c>
      <c r="F38">
        <f>'3. Caracterización'!I85</f>
        <v/>
      </c>
      <c r="G38">
        <f>SUM(D38:F38)</f>
        <v/>
      </c>
    </row>
    <row r="39" ht="28.5" customHeight="1" s="33">
      <c r="A39" t="n">
        <v>38</v>
      </c>
      <c r="B39">
        <f>'3. Caracterización'!A89</f>
        <v/>
      </c>
      <c r="C39" s="32">
        <f>'3. Caracterización'!B89</f>
        <v/>
      </c>
      <c r="D39">
        <f>'3. Caracterización'!G89</f>
        <v/>
      </c>
      <c r="E39">
        <f>'3. Caracterización'!H89</f>
        <v/>
      </c>
      <c r="F39">
        <f>'3. Caracterización'!I89</f>
        <v/>
      </c>
      <c r="G39">
        <f>SUM(D39:F39)</f>
        <v/>
      </c>
    </row>
    <row r="40" ht="28.5" customHeight="1" s="33">
      <c r="A40" t="n">
        <v>39</v>
      </c>
      <c r="B40">
        <f>'3. Caracterización'!A110</f>
        <v/>
      </c>
      <c r="C40" s="32">
        <f>'3. Caracterización'!B110</f>
        <v/>
      </c>
      <c r="D40">
        <f>'3. Caracterización'!G110</f>
        <v/>
      </c>
      <c r="E40">
        <f>'3. Caracterización'!H110</f>
        <v/>
      </c>
      <c r="F40">
        <f>'3. Caracterización'!I110</f>
        <v/>
      </c>
      <c r="G40">
        <f>SUM(D40:F40)</f>
        <v/>
      </c>
    </row>
    <row r="41">
      <c r="A41" t="n">
        <v>40</v>
      </c>
      <c r="B41">
        <f>'3. Caracterización'!A112</f>
        <v/>
      </c>
      <c r="C41" s="32">
        <f>'3. Caracterización'!B112</f>
        <v/>
      </c>
      <c r="D41">
        <f>'3. Caracterización'!G112</f>
        <v/>
      </c>
      <c r="E41">
        <f>'3. Caracterización'!H112</f>
        <v/>
      </c>
      <c r="F41">
        <f>'3. Caracterización'!I112</f>
        <v/>
      </c>
      <c r="G41">
        <f>SUM(D41:F41)</f>
        <v/>
      </c>
    </row>
    <row r="42">
      <c r="A42" t="n">
        <v>41</v>
      </c>
      <c r="B42">
        <f>'3. Caracterización'!A136</f>
        <v/>
      </c>
      <c r="C42" s="32">
        <f>'3. Caracterización'!B136</f>
        <v/>
      </c>
      <c r="D42">
        <f>'3. Caracterización'!G136</f>
        <v/>
      </c>
      <c r="E42">
        <f>'3. Caracterización'!H136</f>
        <v/>
      </c>
      <c r="F42">
        <f>'3. Caracterización'!I136</f>
        <v/>
      </c>
      <c r="G42">
        <f>SUM(D42:F42)</f>
        <v/>
      </c>
    </row>
    <row r="43">
      <c r="A43" t="n">
        <v>42</v>
      </c>
      <c r="B43">
        <f>'3. Caracterización'!A139</f>
        <v/>
      </c>
      <c r="C43" s="32">
        <f>'3. Caracterización'!B139</f>
        <v/>
      </c>
      <c r="D43">
        <f>'3. Caracterización'!G139</f>
        <v/>
      </c>
      <c r="E43">
        <f>'3. Caracterización'!H139</f>
        <v/>
      </c>
      <c r="F43">
        <f>'3. Caracterización'!I139</f>
        <v/>
      </c>
      <c r="G43">
        <f>SUM(D43:F43)</f>
        <v/>
      </c>
    </row>
    <row r="44" ht="28.5" customHeight="1" s="33">
      <c r="A44" t="n">
        <v>43</v>
      </c>
      <c r="B44">
        <f>'3. Caracterización'!A146</f>
        <v/>
      </c>
      <c r="C44" s="32">
        <f>'3. Caracterización'!B146</f>
        <v/>
      </c>
      <c r="D44">
        <f>'3. Caracterización'!G146</f>
        <v/>
      </c>
      <c r="E44">
        <f>'3. Caracterización'!H146</f>
        <v/>
      </c>
      <c r="F44">
        <f>'3. Caracterización'!I146</f>
        <v/>
      </c>
      <c r="G44">
        <f>SUM(D44:F44)</f>
        <v/>
      </c>
    </row>
    <row r="45" ht="28.5" customHeight="1" s="33">
      <c r="A45" t="n">
        <v>44</v>
      </c>
      <c r="B45">
        <f>'3. Caracterización'!A152</f>
        <v/>
      </c>
      <c r="C45" s="32">
        <f>'3. Caracterización'!B152</f>
        <v/>
      </c>
      <c r="D45">
        <f>'3. Caracterización'!G152</f>
        <v/>
      </c>
      <c r="E45">
        <f>'3. Caracterización'!H152</f>
        <v/>
      </c>
      <c r="F45">
        <f>'3. Caracterización'!I152</f>
        <v/>
      </c>
      <c r="G45">
        <f>SUM(D45:F45)</f>
        <v/>
      </c>
    </row>
    <row r="46">
      <c r="A46" t="n">
        <v>45</v>
      </c>
      <c r="B46">
        <f>'3. Caracterización'!A154</f>
        <v/>
      </c>
      <c r="C46" s="32">
        <f>'3. Caracterización'!B154</f>
        <v/>
      </c>
      <c r="D46">
        <f>'3. Caracterización'!G154</f>
        <v/>
      </c>
      <c r="E46">
        <f>'3. Caracterización'!H154</f>
        <v/>
      </c>
      <c r="F46">
        <f>'3. Caracterización'!I154</f>
        <v/>
      </c>
      <c r="G46">
        <f>SUM(D46:F46)</f>
        <v/>
      </c>
    </row>
    <row r="47">
      <c r="A47" t="n">
        <v>46</v>
      </c>
      <c r="B47">
        <f>'3. Caracterización'!A157</f>
        <v/>
      </c>
      <c r="C47" s="32">
        <f>'3. Caracterización'!B157</f>
        <v/>
      </c>
      <c r="D47">
        <f>'3. Caracterización'!G157</f>
        <v/>
      </c>
      <c r="E47">
        <f>'3. Caracterización'!H157</f>
        <v/>
      </c>
      <c r="F47">
        <f>'3. Caracterización'!I157</f>
        <v/>
      </c>
      <c r="G47">
        <f>SUM(D47:F47)</f>
        <v/>
      </c>
    </row>
    <row r="48" ht="28.5" customHeight="1" s="33">
      <c r="A48" t="n">
        <v>47</v>
      </c>
      <c r="B48">
        <f>'3. Caracterización'!A170</f>
        <v/>
      </c>
      <c r="C48" s="32">
        <f>'3. Caracterización'!B170</f>
        <v/>
      </c>
      <c r="D48">
        <f>'3. Caracterización'!G170</f>
        <v/>
      </c>
      <c r="E48">
        <f>'3. Caracterización'!H170</f>
        <v/>
      </c>
      <c r="F48">
        <f>'3. Caracterización'!I170</f>
        <v/>
      </c>
      <c r="G48">
        <f>SUM(D48:F48)</f>
        <v/>
      </c>
    </row>
    <row r="49" ht="28.5" customHeight="1" s="33">
      <c r="A49" t="n">
        <v>48</v>
      </c>
      <c r="B49">
        <f>'3. Caracterización'!A171</f>
        <v/>
      </c>
      <c r="C49" s="32">
        <f>'3. Caracterización'!B171</f>
        <v/>
      </c>
      <c r="D49">
        <f>'3. Caracterización'!G171</f>
        <v/>
      </c>
      <c r="E49">
        <f>'3. Caracterización'!H171</f>
        <v/>
      </c>
      <c r="F49">
        <f>'3. Caracterización'!I171</f>
        <v/>
      </c>
      <c r="G49">
        <f>SUM(D49:F49)</f>
        <v/>
      </c>
    </row>
    <row r="50" ht="28.5" customHeight="1" s="33">
      <c r="A50" t="n">
        <v>49</v>
      </c>
      <c r="B50">
        <f>'3. Caracterización'!A181</f>
        <v/>
      </c>
      <c r="C50" s="32">
        <f>'3. Caracterización'!B181</f>
        <v/>
      </c>
      <c r="D50">
        <f>'3. Caracterización'!G181</f>
        <v/>
      </c>
      <c r="E50">
        <f>'3. Caracterización'!H181</f>
        <v/>
      </c>
      <c r="F50">
        <f>'3. Caracterización'!I181</f>
        <v/>
      </c>
      <c r="G50">
        <f>SUM(D50:F50)</f>
        <v/>
      </c>
    </row>
    <row r="51" ht="28.5" customHeight="1" s="33">
      <c r="A51" t="n">
        <v>50</v>
      </c>
      <c r="B51">
        <f>'3. Caracterización'!A188</f>
        <v/>
      </c>
      <c r="C51" s="32">
        <f>'3. Caracterización'!B188</f>
        <v/>
      </c>
      <c r="D51">
        <f>'3. Caracterización'!G188</f>
        <v/>
      </c>
      <c r="E51">
        <f>'3. Caracterización'!H188</f>
        <v/>
      </c>
      <c r="F51">
        <f>'3. Caracterización'!I188</f>
        <v/>
      </c>
      <c r="G51">
        <f>SUM(D51:F51)</f>
        <v/>
      </c>
    </row>
    <row r="52">
      <c r="A52" t="n">
        <v>51</v>
      </c>
      <c r="B52">
        <f>'3. Caracterización'!A200</f>
        <v/>
      </c>
      <c r="C52" s="32">
        <f>'3. Caracterización'!B200</f>
        <v/>
      </c>
      <c r="D52">
        <f>'3. Caracterización'!G200</f>
        <v/>
      </c>
      <c r="E52">
        <f>'3. Caracterización'!H200</f>
        <v/>
      </c>
      <c r="F52">
        <f>'3. Caracterización'!I200</f>
        <v/>
      </c>
      <c r="G52">
        <f>SUM(D52:F52)</f>
        <v/>
      </c>
    </row>
    <row r="53">
      <c r="A53" t="n">
        <v>52</v>
      </c>
      <c r="B53">
        <f>'3. Caracterización'!A215</f>
        <v/>
      </c>
      <c r="C53" s="32">
        <f>'3. Caracterización'!B215</f>
        <v/>
      </c>
      <c r="D53">
        <f>'3. Caracterización'!G215</f>
        <v/>
      </c>
      <c r="E53">
        <f>'3. Caracterización'!H215</f>
        <v/>
      </c>
      <c r="F53">
        <f>'3. Caracterización'!I215</f>
        <v/>
      </c>
      <c r="G53">
        <f>SUM(D53:F53)</f>
        <v/>
      </c>
    </row>
    <row r="54" ht="28.5" customHeight="1" s="33">
      <c r="A54" t="n">
        <v>53</v>
      </c>
      <c r="B54">
        <f>'3. Caracterización'!A224</f>
        <v/>
      </c>
      <c r="C54" s="32">
        <f>'3. Caracterización'!B224</f>
        <v/>
      </c>
      <c r="D54">
        <f>'3. Caracterización'!G224</f>
        <v/>
      </c>
      <c r="E54">
        <f>'3. Caracterización'!H224</f>
        <v/>
      </c>
      <c r="F54">
        <f>'3. Caracterización'!I224</f>
        <v/>
      </c>
      <c r="G54">
        <f>SUM(D54:F54)</f>
        <v/>
      </c>
    </row>
    <row r="55" ht="28.5" customHeight="1" s="33">
      <c r="A55" t="n">
        <v>54</v>
      </c>
      <c r="B55">
        <f>'3. Caracterización'!A242</f>
        <v/>
      </c>
      <c r="C55" s="32">
        <f>'3. Caracterización'!B242</f>
        <v/>
      </c>
      <c r="D55">
        <f>'3. Caracterización'!G242</f>
        <v/>
      </c>
      <c r="E55">
        <f>'3. Caracterización'!H242</f>
        <v/>
      </c>
      <c r="F55">
        <f>'3. Caracterización'!I242</f>
        <v/>
      </c>
      <c r="G55">
        <f>SUM(D55:F55)</f>
        <v/>
      </c>
    </row>
    <row r="56" ht="28.5" customHeight="1" s="33">
      <c r="A56" t="n">
        <v>55</v>
      </c>
      <c r="B56">
        <f>'3. Caracterización'!A10</f>
        <v/>
      </c>
      <c r="C56" s="32">
        <f>'3. Caracterización'!B10</f>
        <v/>
      </c>
      <c r="D56">
        <f>'3. Caracterización'!G10</f>
        <v/>
      </c>
      <c r="E56">
        <f>'3. Caracterización'!H10</f>
        <v/>
      </c>
      <c r="F56">
        <f>'3. Caracterización'!I10</f>
        <v/>
      </c>
      <c r="G56">
        <f>SUM(D56:F56)</f>
        <v/>
      </c>
    </row>
    <row r="57">
      <c r="A57" t="n">
        <v>56</v>
      </c>
      <c r="B57">
        <f>'3. Caracterización'!A13</f>
        <v/>
      </c>
      <c r="C57" s="32">
        <f>'3. Caracterización'!B13</f>
        <v/>
      </c>
      <c r="D57">
        <f>'3. Caracterización'!G13</f>
        <v/>
      </c>
      <c r="E57">
        <f>'3. Caracterización'!H13</f>
        <v/>
      </c>
      <c r="F57">
        <f>'3. Caracterización'!I13</f>
        <v/>
      </c>
      <c r="G57">
        <f>SUM(D57:F57)</f>
        <v/>
      </c>
    </row>
    <row r="58" ht="28.5" customHeight="1" s="33">
      <c r="A58" t="n">
        <v>57</v>
      </c>
      <c r="B58">
        <f>'3. Caracterización'!A15</f>
        <v/>
      </c>
      <c r="C58" s="32">
        <f>'3. Caracterización'!B15</f>
        <v/>
      </c>
      <c r="D58">
        <f>'3. Caracterización'!G15</f>
        <v/>
      </c>
      <c r="E58">
        <f>'3. Caracterización'!H15</f>
        <v/>
      </c>
      <c r="F58">
        <f>'3. Caracterización'!I15</f>
        <v/>
      </c>
      <c r="G58">
        <f>SUM(D58:F58)</f>
        <v/>
      </c>
    </row>
    <row r="59">
      <c r="A59" t="n">
        <v>58</v>
      </c>
      <c r="B59">
        <f>'3. Caracterización'!A28</f>
        <v/>
      </c>
      <c r="C59" s="32">
        <f>'3. Caracterización'!B28</f>
        <v/>
      </c>
      <c r="D59">
        <f>'3. Caracterización'!G28</f>
        <v/>
      </c>
      <c r="E59">
        <f>'3. Caracterización'!H28</f>
        <v/>
      </c>
      <c r="F59">
        <f>'3. Caracterización'!I28</f>
        <v/>
      </c>
      <c r="G59">
        <f>SUM(D59:F59)</f>
        <v/>
      </c>
    </row>
    <row r="60">
      <c r="A60" t="n">
        <v>59</v>
      </c>
      <c r="B60">
        <f>'3. Caracterización'!A66</f>
        <v/>
      </c>
      <c r="C60" s="32">
        <f>'3. Caracterización'!B66</f>
        <v/>
      </c>
      <c r="D60">
        <f>'3. Caracterización'!G66</f>
        <v/>
      </c>
      <c r="E60">
        <f>'3. Caracterización'!H66</f>
        <v/>
      </c>
      <c r="F60">
        <f>'3. Caracterización'!I66</f>
        <v/>
      </c>
      <c r="G60">
        <f>SUM(D60:F60)</f>
        <v/>
      </c>
    </row>
    <row r="61" ht="28.5" customHeight="1" s="33">
      <c r="A61" t="n">
        <v>60</v>
      </c>
      <c r="B61">
        <f>'3. Caracterización'!A91</f>
        <v/>
      </c>
      <c r="C61" s="32">
        <f>'3. Caracterización'!B91</f>
        <v/>
      </c>
      <c r="D61">
        <f>'3. Caracterización'!G91</f>
        <v/>
      </c>
      <c r="E61">
        <f>'3. Caracterización'!H91</f>
        <v/>
      </c>
      <c r="F61">
        <f>'3. Caracterización'!I91</f>
        <v/>
      </c>
      <c r="G61">
        <f>SUM(D61:F61)</f>
        <v/>
      </c>
    </row>
    <row r="62" ht="28.5" customHeight="1" s="33">
      <c r="A62" t="n">
        <v>61</v>
      </c>
      <c r="B62">
        <f>'3. Caracterización'!A99</f>
        <v/>
      </c>
      <c r="C62" s="32">
        <f>'3. Caracterización'!B99</f>
        <v/>
      </c>
      <c r="D62">
        <f>'3. Caracterización'!G99</f>
        <v/>
      </c>
      <c r="E62">
        <f>'3. Caracterización'!H99</f>
        <v/>
      </c>
      <c r="F62">
        <f>'3. Caracterización'!I99</f>
        <v/>
      </c>
      <c r="G62">
        <f>SUM(D62:F62)</f>
        <v/>
      </c>
    </row>
    <row r="63">
      <c r="A63" t="n">
        <v>62</v>
      </c>
      <c r="B63">
        <f>'3. Caracterización'!A108</f>
        <v/>
      </c>
      <c r="C63" s="32">
        <f>'3. Caracterización'!B108</f>
        <v/>
      </c>
      <c r="D63">
        <f>'3. Caracterización'!G108</f>
        <v/>
      </c>
      <c r="E63">
        <f>'3. Caracterización'!H108</f>
        <v/>
      </c>
      <c r="F63">
        <f>'3. Caracterización'!I108</f>
        <v/>
      </c>
      <c r="G63">
        <f>SUM(D63:F63)</f>
        <v/>
      </c>
    </row>
    <row r="64" ht="28.5" customHeight="1" s="33">
      <c r="A64" t="n">
        <v>63</v>
      </c>
      <c r="B64">
        <f>'3. Caracterización'!A116</f>
        <v/>
      </c>
      <c r="C64" s="32">
        <f>'3. Caracterización'!B116</f>
        <v/>
      </c>
      <c r="D64">
        <f>'3. Caracterización'!G116</f>
        <v/>
      </c>
      <c r="E64">
        <f>'3. Caracterización'!H116</f>
        <v/>
      </c>
      <c r="F64">
        <f>'3. Caracterización'!I116</f>
        <v/>
      </c>
      <c r="G64">
        <f>SUM(D64:F64)</f>
        <v/>
      </c>
    </row>
    <row r="65">
      <c r="A65" t="n">
        <v>64</v>
      </c>
      <c r="B65">
        <f>'3. Caracterización'!A133</f>
        <v/>
      </c>
      <c r="C65" s="32">
        <f>'3. Caracterización'!B133</f>
        <v/>
      </c>
      <c r="D65">
        <f>'3. Caracterización'!G133</f>
        <v/>
      </c>
      <c r="E65">
        <f>'3. Caracterización'!H133</f>
        <v/>
      </c>
      <c r="F65">
        <f>'3. Caracterización'!I133</f>
        <v/>
      </c>
      <c r="G65">
        <f>SUM(D65:F65)</f>
        <v/>
      </c>
    </row>
    <row r="66" ht="28.5" customHeight="1" s="33">
      <c r="A66" t="n">
        <v>65</v>
      </c>
      <c r="B66">
        <f>'3. Caracterización'!A144</f>
        <v/>
      </c>
      <c r="C66" s="32">
        <f>'3. Caracterización'!B144</f>
        <v/>
      </c>
      <c r="D66">
        <f>'3. Caracterización'!G144</f>
        <v/>
      </c>
      <c r="E66">
        <f>'3. Caracterización'!H144</f>
        <v/>
      </c>
      <c r="F66">
        <f>'3. Caracterización'!I144</f>
        <v/>
      </c>
      <c r="G66">
        <f>SUM(D66:F66)</f>
        <v/>
      </c>
    </row>
    <row r="68" ht="70.05" customHeight="1" s="33">
      <c r="A68" s="32" t="inlineStr">
        <is>
          <t>Metodologia: cada rol (Tomador de datos, Producción, Administrador) distribuyó 65 puntos entre 29 preguntas (2x5 + 3x4 + 6x3 + 7x2 + 11x1), priorizando segun la importancia de cada atributo de calidad para ese rol (hoja '2. Priorización-QA'), el consenso de necesidad (SI) en la hoja '3. Caracterización' y las citas textuales del cliente (CITAS_TEXTUALES_CLIENTE.md, HOJA_SESION_CLIENTE.md). Estas son las 65 preguntas con mayor puntaje total sumando los 3 roles; en caso de empate se prefirió el atributo de calidad de mayor prioridad promedio entre los 3 roles, el mayor consenso (SI) entre Juan, Jerónimo y el Cliente, y evidencia textual directa del cliente cuando existía (p. ej. RF-C17 sobre quién corrige un dato ya sincronizado).</t>
        </is>
      </c>
    </row>
  </sheetData>
  <mergeCells count="1">
    <mergeCell ref="A68:G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Pablo Avendano Duque</dc:creator>
  <dcterms:created xmlns:dcterms="http://purl.org/dc/terms/" xmlns:xsi="http://www.w3.org/2001/XMLSchema-instance" xsi:type="dcterms:W3CDTF">2026-08-04T17:31:19Z</dcterms:created>
  <dcterms:modified xmlns:dcterms="http://purl.org/dc/terms/" xmlns:xsi="http://www.w3.org/2001/XMLSchema-instance" xsi:type="dcterms:W3CDTF">2026-09-01T18:33:00Z</dcterms:modified>
  <cp:lastModifiedBy>jeronimo montoya londoño</cp:lastModifiedBy>
</cp:coreProperties>
</file>