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vo" sheetId="1" state="visible" r:id="rId3"/>
    <sheet name="Preguntas" sheetId="2" state="visible" r:id="rId4"/>
    <sheet name="Resumen" sheetId="3" state="visible" r:id="rId5"/>
    <sheet name="Ranking mini QAW" sheetId="4" state="visible" r:id="rId6"/>
    <sheet name="Valores" sheetId="5" state="visible" r:id="rId7"/>
  </sheets>
  <definedNames>
    <definedName function="false" hidden="true" localSheetId="1" name="_xlnm._FilterDatabase" vbProcedure="false">Preguntas!$A$1:$G$263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<sst xmlns="http://schemas.openxmlformats.org/spreadsheetml/2006/main" count="1001" uniqueCount="611">
  <si>
    <t xml:space="preserve">FlorLogic — Preguntas de caracterización por atributo de calidad</t>
  </si>
  <si>
    <t xml:space="preserve">Versión 2 · 21-ago-2026 · insumo previo a los escenarios de calidad (ESC-nnn). Reemplaza la v1.</t>
  </si>
  <si>
    <t xml:space="preserve">Qué cambió frente a la v1</t>
  </si>
  <si>
    <t xml:space="preserve">Seguridad de funcionamiento deja de ser un atributo propio: queda absorbida por Confiabilidad, que ahora cubre también la pérdida y el daño de información ante fallos. Sus 15 preguntas se conservan íntegras, renumeradas CNF-43 a CNF-57.</t>
  </si>
  <si>
    <t xml:space="preserve">Trazabilidad pasa a llamarse Capacidad para ser Auditado, entendida como trazabilidad + cumplimiento, según quedó definida en el nuevo mini QAW. Las 18 preguntas anteriores se conservan como el bloque de trazabilidad y se suman 14 nuevas de cumplimiento y evidencia ante terceros (marcadas en verde en la hoja Preguntas).</t>
  </si>
  <si>
    <t xml:space="preserve">Los atributos van en el orden del nuevo mini QAW: menor puntuación = mayor prioridad.</t>
  </si>
  <si>
    <t xml:space="preserve">El prefijo de Escalabilidad cambia de ESC- a ESL-, para no colisionar con la numeración ESC-nnn de los escenarios de calidad.</t>
  </si>
  <si>
    <t xml:space="preserve">Total: 262 preguntas sobre 13 atributos, más 3 de cierre.</t>
  </si>
  <si>
    <t xml:space="preserve">Cómo se diligencia</t>
  </si>
  <si>
    <t xml:space="preserve">1. En la hoja «Preguntas», responder la columna Respuesta con Sí, No o N/A (lista desplegable). Las celdas amarillas son las únicas que se editan.</t>
  </si>
  <si>
    <t xml:space="preserve">2. Si la respuesta necesita matiz, va en Nota — nunca dentro de la pregunta.</t>
  </si>
  <si>
    <t xml:space="preserve">3. La columna Escenario se llena después de la sesión con el ID del escenario que se derive (ESC-001, ESC-002...). Una pregunta puede quedar sin escenario.</t>
  </si>
  <si>
    <t xml:space="preserve">4. Las hojas «Resumen» y «Ranking mini QAW» se actualizan solas.</t>
  </si>
  <si>
    <t xml:space="preserve">Cómo están construidas las preguntas</t>
  </si>
  <si>
    <t xml:space="preserve">Todas se responden Sí / No. Ninguna admite respuesta abierta.</t>
  </si>
  <si>
    <t xml:space="preserve">Ninguna menciona roles. Se pregunta por la necesidad, no por quién la tiene. Si al responder el cliente atribuye la necesidad a alguien en particular, eso se anota en Nota: es un hallazgo, no parte de la pregunta.</t>
  </si>
  <si>
    <t xml:space="preserve">Dentro de cada bloque las preguntas están escalonadas de menor a mayor exigencia (dato → sección → cama → bloque → finca; en el momento → al sincronizar → después; una jornada → tres días → una semana → quince días).</t>
  </si>
  <si>
    <t xml:space="preserve">El punto donde el cliente pasa de «Sí» a «No» dentro de un bloque ES la medida de respuesta del escenario que se va a escribir. Por eso el orden de las filas no se debe alterar: para revisar por atributo, usar el filtro, nunca reordenar.</t>
  </si>
  <si>
    <t xml:space="preserve">Un «No» también sirve: cierra alcance y deja por escrito el respaldo del cliente para descartar.</t>
  </si>
  <si>
    <t xml:space="preserve">Ejemplo de fila diligenciada</t>
  </si>
  <si>
    <t xml:space="preserve">Identificador</t>
  </si>
  <si>
    <t xml:space="preserve">Atributo</t>
  </si>
  <si>
    <t xml:space="preserve">Bloque</t>
  </si>
  <si>
    <t xml:space="preserve">Pregunta</t>
  </si>
  <si>
    <t xml:space="preserve">Respuesta</t>
  </si>
  <si>
    <t xml:space="preserve">Nota</t>
  </si>
  <si>
    <t xml:space="preserve">CNF-04</t>
  </si>
  <si>
    <t xml:space="preserve">Confiabilidad</t>
  </si>
  <si>
    <t xml:space="preserve">Verificación en el momento de la captura</t>
  </si>
  <si>
    <t xml:space="preserve">¿Se necesita verificar que la información sea correcta de manera que se agrupe la información por cama?</t>
  </si>
  <si>
    <t xml:space="preserve">Sí</t>
  </si>
  <si>
    <t xml:space="preserve">Hasta cama sí; por bloque ya no lo revisa nadie. El corte queda entre CNF-04 y CNF-05.</t>
  </si>
  <si>
    <t xml:space="preserve">Escenario</t>
  </si>
  <si>
    <t xml:space="preserve">CNF-01</t>
  </si>
  <si>
    <t xml:space="preserve">¿Se necesita verificar que la información sea correcta de manera individual con cada dato tomado?</t>
  </si>
  <si>
    <t xml:space="preserve">CNF-02</t>
  </si>
  <si>
    <t xml:space="preserve">¿Se necesita verificar que la información sea correcta de manera que se agrupe la información por variedad?</t>
  </si>
  <si>
    <t xml:space="preserve">CNF-03</t>
  </si>
  <si>
    <t xml:space="preserve">¿Se necesita verificar que la información sea correcta de manera que se agrupe la información por sección de la cama?</t>
  </si>
  <si>
    <t xml:space="preserve">CNF-05</t>
  </si>
  <si>
    <t xml:space="preserve">¿Se necesita verificar que la información sea correcta de manera que se agrupe la información por bloque?</t>
  </si>
  <si>
    <t xml:space="preserve">CNF-06</t>
  </si>
  <si>
    <t xml:space="preserve">¿Se necesita verificar que la información sea correcta de manera que se agrupe la información por finca y por jornada completa?</t>
  </si>
  <si>
    <t xml:space="preserve">CNF-07</t>
  </si>
  <si>
    <t xml:space="preserve">¿Se necesita una confirmación final que muestre todo lo capturado antes de darlo por guardado?</t>
  </si>
  <si>
    <t xml:space="preserve">CNF-08</t>
  </si>
  <si>
    <t xml:space="preserve">¿Se necesita que el sistema impida cerrar la captura de una cama si quedaron campos sin diligenciar?</t>
  </si>
  <si>
    <t xml:space="preserve">CNF-09</t>
  </si>
  <si>
    <t xml:space="preserve">¿Se necesita que el sistema permita guardar una captura incompleta y marcarla como pendiente?</t>
  </si>
  <si>
    <t xml:space="preserve">CNF-10</t>
  </si>
  <si>
    <t xml:space="preserve">Reglas de validación</t>
  </si>
  <si>
    <t xml:space="preserve">¿Se necesita que el sistema rechace un dato cuando está fuera del rango posible (por ejemplo, más tallos que plantas sembradas)?</t>
  </si>
  <si>
    <t xml:space="preserve">CNF-11</t>
  </si>
  <si>
    <t xml:space="preserve">¿Se necesita que el sistema advierta, sin bloquear, cuando un dato se aleja mucho de lo que se ha capturado históricamente en esa misma cama?</t>
  </si>
  <si>
    <t xml:space="preserve">CNF-12</t>
  </si>
  <si>
    <t xml:space="preserve">¿Se necesita que el sistema muestre siempre el motivo por el cual rechazó un dato?</t>
  </si>
  <si>
    <t xml:space="preserve">CNF-13</t>
  </si>
  <si>
    <t xml:space="preserve">¿Se necesita que los rangos y las reglas de validación se puedan cambiar sin depender de una nueva versión de la aplicación?</t>
  </si>
  <si>
    <t xml:space="preserve">CNF-14</t>
  </si>
  <si>
    <t xml:space="preserve">¿Se necesita que las reglas de validación funcionen igual estando sin conexión que estando conectado?</t>
  </si>
  <si>
    <t xml:space="preserve">CNF-15</t>
  </si>
  <si>
    <t xml:space="preserve">¿Se necesita que el sistema avise cuando se intenta capturar dos veces la misma cama el mismo día?</t>
  </si>
  <si>
    <t xml:space="preserve">CNF-16</t>
  </si>
  <si>
    <t xml:space="preserve">¿Se necesita que el sistema avise cuando una cama lleva más días de lo normal sin ser capturada?</t>
  </si>
  <si>
    <t xml:space="preserve">CNF-17</t>
  </si>
  <si>
    <t xml:space="preserve">¿Se necesita que el sistema impida registrar una labor sobre una cama que ya fue erradicada?</t>
  </si>
  <si>
    <t xml:space="preserve">CNF-18</t>
  </si>
  <si>
    <t xml:space="preserve">¿Se necesita que el sistema bloquee la captura cuando detecta que la fecha y la hora del dispositivo fueron alteradas?</t>
  </si>
  <si>
    <t xml:space="preserve">CNF-19</t>
  </si>
  <si>
    <t xml:space="preserve">Forma de capturar</t>
  </si>
  <si>
    <t xml:space="preserve">¿Se necesita realizar la captura de datos de manera progresiva y guiada pantalla por pantalla (primero se selecciona bloque, luego cama, luego se captura lote y fecha de siembra, después las variedades plantadas)?</t>
  </si>
  <si>
    <t xml:space="preserve">CNF-20</t>
  </si>
  <si>
    <t xml:space="preserve">¿Se necesita realizar la captura de datos con una plantilla predefinida que use una estructura similar a las plantillas de papel utilizadas previamente?</t>
  </si>
  <si>
    <t xml:space="preserve">CNF-21</t>
  </si>
  <si>
    <t xml:space="preserve">¿Se necesita que la estructura de captura sea siempre la misma para todos los bloques de la finca?</t>
  </si>
  <si>
    <t xml:space="preserve">CNF-22</t>
  </si>
  <si>
    <t xml:space="preserve">¿Se necesita que la estructura de captura pueda cambiar según la variedad que se esté trabajando?</t>
  </si>
  <si>
    <t xml:space="preserve">CNF-23</t>
  </si>
  <si>
    <t xml:space="preserve">¿Se necesita que el sistema proponga automáticamente el valor capturado la última vez para esa misma cama?</t>
  </si>
  <si>
    <t xml:space="preserve">CNF-24</t>
  </si>
  <si>
    <t xml:space="preserve">¿Se necesita que el orden de captura siga el recorrido físico que se hace dentro del bloque?</t>
  </si>
  <si>
    <t xml:space="preserve">CNF-25</t>
  </si>
  <si>
    <t xml:space="preserve">¿Se necesita que el sistema indique en todo momento cuántas camas faltan por capturar en la jornada?</t>
  </si>
  <si>
    <t xml:space="preserve">CNF-26</t>
  </si>
  <si>
    <t xml:space="preserve">Corrección y conflicto</t>
  </si>
  <si>
    <t xml:space="preserve">¿Se necesita poder corregir un dato ya capturado antes de que se sincronice?</t>
  </si>
  <si>
    <t xml:space="preserve">CNF-27</t>
  </si>
  <si>
    <t xml:space="preserve">¿Se necesita poder corregir un dato después de que se sincronizó?</t>
  </si>
  <si>
    <t xml:space="preserve">CNF-28</t>
  </si>
  <si>
    <t xml:space="preserve">¿Se necesita que al corregir un dato se conserve visible el valor original?</t>
  </si>
  <si>
    <t xml:space="preserve">CNF-29</t>
  </si>
  <si>
    <t xml:space="preserve">¿Se necesita que toda corrección exija escribir un motivo?</t>
  </si>
  <si>
    <t xml:space="preserve">CNF-30</t>
  </si>
  <si>
    <t xml:space="preserve">¿Se necesita que exista una fecha a partir de la cual la información ya no se pueda corregir?</t>
  </si>
  <si>
    <t xml:space="preserve">CNF-31</t>
  </si>
  <si>
    <t xml:space="preserve">¿Se necesita que, cuando dos capturas de la misma cama entran en conflicto, el sistema resuelva solo tomando la más reciente?</t>
  </si>
  <si>
    <t xml:space="preserve">CNF-32</t>
  </si>
  <si>
    <t xml:space="preserve">¿Se necesita que, cuando dos capturas de la misma cama entran en conflicto, el sistema deje ambas y pida que una persona decida?</t>
  </si>
  <si>
    <t xml:space="preserve">CNF-33</t>
  </si>
  <si>
    <t xml:space="preserve">¿Se necesita que quien capturó el dato se entere cuando su captura fue descartada o modificada por un conflicto?</t>
  </si>
  <si>
    <t xml:space="preserve">CNF-34</t>
  </si>
  <si>
    <t xml:space="preserve">Confianza en el resultado</t>
  </si>
  <si>
    <t xml:space="preserve">¿Se necesita saber, sobre cada proyección, con qué datos y con qué parámetros fue calculada?</t>
  </si>
  <si>
    <t xml:space="preserve">CNF-35</t>
  </si>
  <si>
    <t xml:space="preserve">¿Se necesita que una misma proyección, recalculada meses después, dé exactamente el mismo resultado?</t>
  </si>
  <si>
    <t xml:space="preserve">CNF-36</t>
  </si>
  <si>
    <t xml:space="preserve">¿Se necesita que el sistema muestre cuánto se desvió la proyección anterior frente a lo que realmente se cortó?</t>
  </si>
  <si>
    <t xml:space="preserve">CNF-37</t>
  </si>
  <si>
    <t xml:space="preserve">¿Se necesita que el sistema muestre un indicador del porcentaje de datos con error o pendientes de verificación?</t>
  </si>
  <si>
    <t xml:space="preserve">CNF-38</t>
  </si>
  <si>
    <t xml:space="preserve">¿Se necesita fijar una meta explícita de porcentaje máximo de error aceptable en la información capturada?</t>
  </si>
  <si>
    <t xml:space="preserve">CNF-39</t>
  </si>
  <si>
    <t xml:space="preserve">¿Se necesita que el sistema distinga la información verificada de la que todavía no lo ha sido?</t>
  </si>
  <si>
    <t xml:space="preserve">CNF-40</t>
  </si>
  <si>
    <t xml:space="preserve">¿Se necesita que la información no verificada quede excluida de las proyecciones hasta que se verifique?</t>
  </si>
  <si>
    <t xml:space="preserve">CNF-41</t>
  </si>
  <si>
    <t xml:space="preserve">¿Se necesita seguir llenando el formato en papel en paralelo durante los primeros meses de uso?</t>
  </si>
  <si>
    <t xml:space="preserve">CNF-42</t>
  </si>
  <si>
    <t xml:space="preserve">¿Se necesita que el sistema permita comparar lo capturado en la aplicación contra el formato en papel del mismo día?</t>
  </si>
  <si>
    <t xml:space="preserve">CNF-43</t>
  </si>
  <si>
    <t xml:space="preserve">Comportamiento ante fallos y pérdida de información</t>
  </si>
  <si>
    <t xml:space="preserve">¿Se necesita que no se pierda ningún dato capturado bajo ninguna circunstancia?</t>
  </si>
  <si>
    <t xml:space="preserve">CNF-44</t>
  </si>
  <si>
    <t xml:space="preserve">¿Se necesita que la información se conserve cuando el dispositivo se apaga por batería agotada a mitad de una captura?</t>
  </si>
  <si>
    <t xml:space="preserve">CNF-45</t>
  </si>
  <si>
    <t xml:space="preserve">¿Se necesita que la información se conserve cuando la aplicación se cierra de manera inesperada?</t>
  </si>
  <si>
    <t xml:space="preserve">CNF-46</t>
  </si>
  <si>
    <t xml:space="preserve">¿Se necesita que la información se conserve cuando el dispositivo se moja o se golpea y hay que cambiarlo?</t>
  </si>
  <si>
    <t xml:space="preserve">CNF-47</t>
  </si>
  <si>
    <t xml:space="preserve">¿Se necesita que una sincronización interrumpida a la mitad pueda retomarse sin duplicar ni perder información?</t>
  </si>
  <si>
    <t xml:space="preserve">CNF-48</t>
  </si>
  <si>
    <t xml:space="preserve">¿Se necesita que el sistema haga copias de respaldo de manera automática, sin que nadie lo solicite?</t>
  </si>
  <si>
    <t xml:space="preserve">CNF-49</t>
  </si>
  <si>
    <t xml:space="preserve">¿Se necesita que las copias de respaldo se hagan al menos una vez al día?</t>
  </si>
  <si>
    <t xml:space="preserve">CNF-50</t>
  </si>
  <si>
    <t xml:space="preserve">¿Se necesita poder devolver la información a como estaba en una fecha anterior?</t>
  </si>
  <si>
    <t xml:space="preserve">CNF-51</t>
  </si>
  <si>
    <t xml:space="preserve">¿Se necesita poder devolver la información de una sola finca sin tocar la de las demás?</t>
  </si>
  <si>
    <t xml:space="preserve">CNF-52</t>
  </si>
  <si>
    <t xml:space="preserve">¿Se necesita que la información nunca se elimine, ni siquiera cuando se erradica una cama?</t>
  </si>
  <si>
    <t xml:space="preserve">CNF-53</t>
  </si>
  <si>
    <t xml:space="preserve">¿Se necesita conservar tanto la información tal como se capturó como la información ya corregida?</t>
  </si>
  <si>
    <t xml:space="preserve">CNF-54</t>
  </si>
  <si>
    <t xml:space="preserve">¿Se necesita que el sistema avise cuando una proyección se calculó con información incompleta?</t>
  </si>
  <si>
    <t xml:space="preserve">CNF-55</t>
  </si>
  <si>
    <t xml:space="preserve">¿Se necesita que el sistema impida publicar una proyección cuando faltan datos de bloques enteros?</t>
  </si>
  <si>
    <t xml:space="preserve">CNF-56</t>
  </si>
  <si>
    <t xml:space="preserve">¿Se necesita que exista una prueba periódica de que las copias de respaldo efectivamente sirven?</t>
  </si>
  <si>
    <t xml:space="preserve">CNF-57</t>
  </si>
  <si>
    <t xml:space="preserve">¿Se necesita que la aplicación avise cuando el almacenamiento del dispositivo está por llenarse?</t>
  </si>
  <si>
    <t xml:space="preserve">DSP-01</t>
  </si>
  <si>
    <t xml:space="preserve">Disponibilidad</t>
  </si>
  <si>
    <t xml:space="preserve">¿Se necesita capturar información en el área de cultivo sin ninguna conexión de datos?</t>
  </si>
  <si>
    <t xml:space="preserve">DSP-02</t>
  </si>
  <si>
    <t xml:space="preserve">¿Se necesita capturar durante una jornada completa sin sincronizar en ningún momento?</t>
  </si>
  <si>
    <t xml:space="preserve">DSP-03</t>
  </si>
  <si>
    <t xml:space="preserve">¿Se necesita capturar durante tres días seguidos sin sincronizar?</t>
  </si>
  <si>
    <t xml:space="preserve">DSP-04</t>
  </si>
  <si>
    <t xml:space="preserve">¿Se necesita capturar durante una semana seguida sin sincronizar?</t>
  </si>
  <si>
    <t xml:space="preserve">DSP-05</t>
  </si>
  <si>
    <t xml:space="preserve">¿Se necesita capturar durante más de quince días sin sincronizar?</t>
  </si>
  <si>
    <t xml:space="preserve">DSP-06</t>
  </si>
  <si>
    <t xml:space="preserve">¿Se necesita poder consultar la información ya sincronizada aunque en ese momento no haya conexión?</t>
  </si>
  <si>
    <t xml:space="preserve">DSP-07</t>
  </si>
  <si>
    <t xml:space="preserve">¿Se necesita poder consultar la información desde la web aunque la aplicación de captura esté fuera de servicio?</t>
  </si>
  <si>
    <t xml:space="preserve">DSP-08</t>
  </si>
  <si>
    <t xml:space="preserve">¿Se necesita que la captura siga funcionando aunque el servicio en la nube esté caído?</t>
  </si>
  <si>
    <t xml:space="preserve">DSP-09</t>
  </si>
  <si>
    <t xml:space="preserve">¿Se necesita que exista un horario del día en el que el sistema no pueda estar fuera de servicio bajo ninguna circunstancia?</t>
  </si>
  <si>
    <t xml:space="preserve">DSP-10</t>
  </si>
  <si>
    <t xml:space="preserve">¿Se necesita que el sistema esté disponible los siete días de la semana?</t>
  </si>
  <si>
    <t xml:space="preserve">DSP-11</t>
  </si>
  <si>
    <t xml:space="preserve">¿Se necesita que el sistema esté disponible las veinticuatro horas del día?</t>
  </si>
  <si>
    <t xml:space="preserve">DSP-12</t>
  </si>
  <si>
    <t xml:space="preserve">¿Se necesita que exista un periodo del año (temporada alta) con una exigencia de disponibilidad mayor que el resto?</t>
  </si>
  <si>
    <t xml:space="preserve">DSP-13</t>
  </si>
  <si>
    <t xml:space="preserve">¿Se necesita que una interrupción del servicio se resuelva en menos de una hora?</t>
  </si>
  <si>
    <t xml:space="preserve">DSP-14</t>
  </si>
  <si>
    <t xml:space="preserve">¿Se necesita que una interrupción del servicio se resuelva dentro del mismo día?</t>
  </si>
  <si>
    <t xml:space="preserve">DSP-15</t>
  </si>
  <si>
    <t xml:space="preserve">¿Se necesita que las labores de mantenimiento se avisen con anticipación?</t>
  </si>
  <si>
    <t xml:space="preserve">DSP-16</t>
  </si>
  <si>
    <t xml:space="preserve">¿Se necesita que las labores de mantenimiento se hagan sin sacar el sistema de servicio?</t>
  </si>
  <si>
    <t xml:space="preserve">DSP-17</t>
  </si>
  <si>
    <t xml:space="preserve">¿Se necesita poder continuar la captura en otro dispositivo cuando el que se estaba usando deja de funcionar?</t>
  </si>
  <si>
    <t xml:space="preserve">DSP-18</t>
  </si>
  <si>
    <t xml:space="preserve">¿Se necesita que la información capturada en un dispositivo que se dañó o se perdió pueda recuperarse?</t>
  </si>
  <si>
    <t xml:space="preserve">DSP-19</t>
  </si>
  <si>
    <t xml:space="preserve">¿Se necesita que una falla que afecte a una finca no afecte a las demás fincas o empresas?</t>
  </si>
  <si>
    <t xml:space="preserve">DSP-20</t>
  </si>
  <si>
    <t xml:space="preserve">¿Se necesita que el sistema avise cuando un dispositivo lleva demasiado tiempo sin sincronizar?</t>
  </si>
  <si>
    <t xml:space="preserve">RND-01</t>
  </si>
  <si>
    <t xml:space="preserve">Rendimiento</t>
  </si>
  <si>
    <t xml:space="preserve">¿Se necesita que registrar una cama completa tome menos tiempo del que hoy toma llenarla en papel?</t>
  </si>
  <si>
    <t xml:space="preserve">RND-02</t>
  </si>
  <si>
    <t xml:space="preserve">¿Se necesita que registrar una cama completa tome menos de un minuto?</t>
  </si>
  <si>
    <t xml:space="preserve">RND-03</t>
  </si>
  <si>
    <t xml:space="preserve">¿Se necesita que registrar una cama completa tome menos de treinta segundos?</t>
  </si>
  <si>
    <t xml:space="preserve">RND-04</t>
  </si>
  <si>
    <t xml:space="preserve">¿Se necesita poder capturar un bloque completo dentro de una sola jornada?</t>
  </si>
  <si>
    <t xml:space="preserve">RND-05</t>
  </si>
  <si>
    <t xml:space="preserve">¿Se necesita poder capturar la finca completa dentro de una sola jornada?</t>
  </si>
  <si>
    <t xml:space="preserve">RND-06</t>
  </si>
  <si>
    <t xml:space="preserve">¿Se necesita que cada dato quede guardado de inmediato, sin espera perceptible?</t>
  </si>
  <si>
    <t xml:space="preserve">RND-07</t>
  </si>
  <si>
    <t xml:space="preserve">¿Se necesita que el paso de una pantalla a la siguiente sea inmediato aun sin conexión?</t>
  </si>
  <si>
    <t xml:space="preserve">RND-08</t>
  </si>
  <si>
    <t xml:space="preserve">¿Se necesita que buscar una cama por su código dé resultado de inmediato?</t>
  </si>
  <si>
    <t xml:space="preserve">RND-09</t>
  </si>
  <si>
    <t xml:space="preserve">¿Se necesita que la sincronización de una jornada completa termine en menos de cinco minutos?</t>
  </si>
  <si>
    <t xml:space="preserve">RND-10</t>
  </si>
  <si>
    <t xml:space="preserve">¿Se necesita que la sincronización ocurra en segundo plano, sin impedir seguir capturando?</t>
  </si>
  <si>
    <t xml:space="preserve">RND-11</t>
  </si>
  <si>
    <t xml:space="preserve">¿Se necesita que muchos dispositivos puedan sincronizar al mismo tiempo al terminar la jornada sin que el sistema se degrade?</t>
  </si>
  <si>
    <t xml:space="preserve">RND-12</t>
  </si>
  <si>
    <t xml:space="preserve">¿Se necesita que la información sincronizada se vea reflejada en la consulta web de inmediato?</t>
  </si>
  <si>
    <t xml:space="preserve">RND-13</t>
  </si>
  <si>
    <t xml:space="preserve">¿Se necesita que la información sincronizada se vea reflejada en la consulta web dentro de la misma hora?</t>
  </si>
  <si>
    <t xml:space="preserve">RND-14</t>
  </si>
  <si>
    <t xml:space="preserve">¿Se necesita que la información sincronizada se vea reflejada al día siguiente?</t>
  </si>
  <si>
    <t xml:space="preserve">RND-15</t>
  </si>
  <si>
    <t xml:space="preserve">¿Se necesita que un reporte de un mes se genere en menos de diez segundos?</t>
  </si>
  <si>
    <t xml:space="preserve">RND-16</t>
  </si>
  <si>
    <t xml:space="preserve">¿Se necesita que un reporte que abarque varios años se genere sin espera significativa?</t>
  </si>
  <si>
    <t xml:space="preserve">RND-17</t>
  </si>
  <si>
    <t xml:space="preserve">¿Se necesita que la proyección se recalcule en el momento en que llega información nueva?</t>
  </si>
  <si>
    <t xml:space="preserve">RND-18</t>
  </si>
  <si>
    <t xml:space="preserve">¿Se necesita que la proyección se recalcule una vez al día en un horario fijo?</t>
  </si>
  <si>
    <t xml:space="preserve">RND-19</t>
  </si>
  <si>
    <t xml:space="preserve">¿Se necesita que la aplicación funcione con fluidez en dispositivos de gama baja o de varios años de antigüedad?</t>
  </si>
  <si>
    <t xml:space="preserve">RND-20</t>
  </si>
  <si>
    <t xml:space="preserve">¿Se necesita que la aplicación no agote la batería del dispositivo antes de terminar la jornada?</t>
  </si>
  <si>
    <t xml:space="preserve">RND-21</t>
  </si>
  <si>
    <t xml:space="preserve">¿Se necesita que el rendimiento se mantenga igual en temporada alta que en el resto del año?</t>
  </si>
  <si>
    <t xml:space="preserve">AUD-01</t>
  </si>
  <si>
    <t xml:space="preserve">Capacidad para ser Auditado</t>
  </si>
  <si>
    <t xml:space="preserve">Trazabilidad de la información</t>
  </si>
  <si>
    <t xml:space="preserve">¿Se necesita saber quién capturó cada dato?</t>
  </si>
  <si>
    <t xml:space="preserve">AUD-02</t>
  </si>
  <si>
    <t xml:space="preserve">¿Se necesita saber la fecha y la hora exactas en que se capturó cada dato?</t>
  </si>
  <si>
    <t xml:space="preserve">AUD-03</t>
  </si>
  <si>
    <t xml:space="preserve">¿Se necesita distinguir la hora en que se capturó de la hora en que se sincronizó?</t>
  </si>
  <si>
    <t xml:space="preserve">AUD-04</t>
  </si>
  <si>
    <t xml:space="preserve">¿Se necesita saber desde qué dispositivo se capturó cada dato?</t>
  </si>
  <si>
    <t xml:space="preserve">AUD-05</t>
  </si>
  <si>
    <t xml:space="preserve">¿Se necesita saber en qué lugar físico se encontraba el dispositivo al capturar?</t>
  </si>
  <si>
    <t xml:space="preserve">AUD-06</t>
  </si>
  <si>
    <t xml:space="preserve">¿Se necesita conservar todas las versiones anteriores de un dato modificado, y no solo la última?</t>
  </si>
  <si>
    <t xml:space="preserve">AUD-07</t>
  </si>
  <si>
    <t xml:space="preserve">¿Se necesita saber quién hizo cada modificación y por qué motivo?</t>
  </si>
  <si>
    <t xml:space="preserve">AUD-08</t>
  </si>
  <si>
    <t xml:space="preserve">¿Se necesita poder ver la historia completa de una cama desde la siembra hasta la erradicación?</t>
  </si>
  <si>
    <t xml:space="preserve">AUD-09</t>
  </si>
  <si>
    <t xml:space="preserve">¿Se necesita poder ver la historia completa de un lote a través de varias camas?</t>
  </si>
  <si>
    <t xml:space="preserve">AUD-10</t>
  </si>
  <si>
    <t xml:space="preserve">¿Se necesita poder ver la historia completa de una variedad a través de varios ciclos?</t>
  </si>
  <si>
    <t xml:space="preserve">AUD-11</t>
  </si>
  <si>
    <t xml:space="preserve">¿Se necesita poder llegar, desde una cifra de un reporte, hasta los datos individuales que la componen?</t>
  </si>
  <si>
    <t xml:space="preserve">AUD-12</t>
  </si>
  <si>
    <t xml:space="preserve">¿Se necesita registrar también quién consultó o exportó la información, y no solo quién la modificó?</t>
  </si>
  <si>
    <t xml:space="preserve">AUD-13</t>
  </si>
  <si>
    <t xml:space="preserve">¿Se necesita que el registro de lo ocurrido no pueda ser alterado ni borrado por nadie?</t>
  </si>
  <si>
    <t xml:space="preserve">AUD-14</t>
  </si>
  <si>
    <t xml:space="preserve">¿Se necesita poder exportar ese registro para entregarlo a un tercero?</t>
  </si>
  <si>
    <t xml:space="preserve">AUD-15</t>
  </si>
  <si>
    <t xml:space="preserve">¿Se necesita conservar la trazabilidad durante al menos cinco años?</t>
  </si>
  <si>
    <t xml:space="preserve">AUD-16</t>
  </si>
  <si>
    <t xml:space="preserve">¿Se necesita conservar la trazabilidad de manera indefinida?</t>
  </si>
  <si>
    <t xml:space="preserve">AUD-17</t>
  </si>
  <si>
    <t xml:space="preserve">¿Se necesita registrar el motivo cada vez que disminuye la cantidad de plantas o de tallos esperados?</t>
  </si>
  <si>
    <t xml:space="preserve">AUD-18</t>
  </si>
  <si>
    <t xml:space="preserve">¿Se necesita poder demostrar ante una auditoría externa el origen de cualquier cifra del sistema?</t>
  </si>
  <si>
    <t xml:space="preserve">AUD-19</t>
  </si>
  <si>
    <t xml:space="preserve">Cumplimiento y evidencia ante terceros</t>
  </si>
  <si>
    <t xml:space="preserve">¿Se necesita responder auditorías de certificación (por ejemplo Florverde, Rainforest Alliance o GLOBALG.A.P.) con información sacada del sistema?</t>
  </si>
  <si>
    <t xml:space="preserve">AUD-20</t>
  </si>
  <si>
    <t xml:space="preserve">¿Se necesita conservar dentro del sistema la evidencia de las labores aplicadas a un cultivo que exige la autoridad fitosanitaria?</t>
  </si>
  <si>
    <t xml:space="preserve">AUD-21</t>
  </si>
  <si>
    <t xml:space="preserve">¿Se necesita poder entregar a un comprador la historia completa del lote que adquirió?</t>
  </si>
  <si>
    <t xml:space="preserve">AUD-22</t>
  </si>
  <si>
    <t xml:space="preserve">¿Se necesita que un auditor externo pueda consultar el sistema directamente, sin poder modificar nada?</t>
  </si>
  <si>
    <t xml:space="preserve">AUD-23</t>
  </si>
  <si>
    <t xml:space="preserve">¿Se necesita que ese acceso de consulta externa tenga fecha de vencimiento automática?</t>
  </si>
  <si>
    <t xml:space="preserve">AUD-24</t>
  </si>
  <si>
    <t xml:space="preserve">¿Se necesita generar el informe para una auditoría desde el propio sistema, sin ayuda técnica?</t>
  </si>
  <si>
    <t xml:space="preserve">AUD-25</t>
  </si>
  <si>
    <t xml:space="preserve">¿Se necesita poder demostrar que la información no fue alterada después de haberse cerrado el periodo?</t>
  </si>
  <si>
    <t xml:space="preserve">AUD-26</t>
  </si>
  <si>
    <t xml:space="preserve">¿Se necesita que quede constancia de quién ha visto la información que está protegida como secreto empresarial?</t>
  </si>
  <si>
    <t xml:space="preserve">AUD-27</t>
  </si>
  <si>
    <t xml:space="preserve">¿Se necesita conservar la información durante un periodo mínimo exigido por norma, aunque ya no se use en la operación?</t>
  </si>
  <si>
    <t xml:space="preserve">AUD-28</t>
  </si>
  <si>
    <t xml:space="preserve">¿Se necesita que exista un momento en que la información se deba eliminar por obligación normativa?</t>
  </si>
  <si>
    <t xml:space="preserve">AUD-29</t>
  </si>
  <si>
    <t xml:space="preserve">¿Se necesita que los datos personales de quienes capturan reciban un tratamiento distinto al de los datos de producción?</t>
  </si>
  <si>
    <t xml:space="preserve">AUD-30</t>
  </si>
  <si>
    <t xml:space="preserve">¿Se necesita registrar quién aprobó una proyección antes de que se comunique fuera del área?</t>
  </si>
  <si>
    <t xml:space="preserve">AUD-31</t>
  </si>
  <si>
    <t xml:space="preserve">¿Se necesita que las revisiones de calidad de la información queden registradas como evidencia, y no solo su resultado?</t>
  </si>
  <si>
    <t xml:space="preserve">AUD-32</t>
  </si>
  <si>
    <t xml:space="preserve">¿Se necesita poder demostrar con información del propio sistema el cumplimiento de un compromiso adquirido con un tercero?</t>
  </si>
  <si>
    <t xml:space="preserve">CAP-01</t>
  </si>
  <si>
    <t xml:space="preserve">Capacidad</t>
  </si>
  <si>
    <t xml:space="preserve">¿Se necesita que el sistema soporte toda la información de una finca completa?</t>
  </si>
  <si>
    <t xml:space="preserve">CAP-02</t>
  </si>
  <si>
    <t xml:space="preserve">¿Se necesita que el sistema soporte varias fincas de la misma empresa?</t>
  </si>
  <si>
    <t xml:space="preserve">CAP-03</t>
  </si>
  <si>
    <t xml:space="preserve">¿Se necesita que el sistema soporte varias empresas distintas al mismo tiempo?</t>
  </si>
  <si>
    <t xml:space="preserve">CAP-04</t>
  </si>
  <si>
    <t xml:space="preserve">¿Se necesita conservar en línea la información del último año?</t>
  </si>
  <si>
    <t xml:space="preserve">CAP-05</t>
  </si>
  <si>
    <t xml:space="preserve">¿Se necesita conservar en línea la información de los últimos cinco años?</t>
  </si>
  <si>
    <t xml:space="preserve">CAP-06</t>
  </si>
  <si>
    <t xml:space="preserve">¿Se necesita conservar en línea toda la información desde el primer día, sin límite?</t>
  </si>
  <si>
    <t xml:space="preserve">CAP-07</t>
  </si>
  <si>
    <t xml:space="preserve">¿Se necesita que la información antigua siga estando disponible con la misma rapidez que la reciente?</t>
  </si>
  <si>
    <t xml:space="preserve">CAP-08</t>
  </si>
  <si>
    <t xml:space="preserve">¿Se aceptaría que la información de más de cierta antigüedad tarde más en consultarse?</t>
  </si>
  <si>
    <t xml:space="preserve">CAP-09</t>
  </si>
  <si>
    <t xml:space="preserve">¿Se necesita almacenar fotografías tomadas en campo junto con los datos?</t>
  </si>
  <si>
    <t xml:space="preserve">CAP-10</t>
  </si>
  <si>
    <t xml:space="preserve">¿Se necesita almacenar documentos o formatos escaneados asociados a una cama o a un lote?</t>
  </si>
  <si>
    <t xml:space="preserve">CAP-11</t>
  </si>
  <si>
    <t xml:space="preserve">¿Se necesita conservar a la vez la copia sin modificar y la copia corregida de cada dato?</t>
  </si>
  <si>
    <t xml:space="preserve">CAP-12</t>
  </si>
  <si>
    <t xml:space="preserve">¿Se necesita que el dispositivo pueda guardar la información de varios días sin sincronizar sin quedarse sin espacio?</t>
  </si>
  <si>
    <t xml:space="preserve">CAP-13</t>
  </si>
  <si>
    <t xml:space="preserve">¿Se necesita que el dispositivo tenga descargado todo el catálogo de la finca antes de salir a capturar?</t>
  </si>
  <si>
    <t xml:space="preserve">CAP-14</t>
  </si>
  <si>
    <t xml:space="preserve">¿Se necesita prever un crecimiento del volumen de información año tras año sin cambiar de sistema?</t>
  </si>
  <si>
    <t xml:space="preserve">CAP-15</t>
  </si>
  <si>
    <t xml:space="preserve">¿Se necesita que el costo de almacenamiento por finca se mantenga acotado a medida que crece la historia?</t>
  </si>
  <si>
    <t xml:space="preserve">ADM-01</t>
  </si>
  <si>
    <t xml:space="preserve">Capacidad para ser Administrado</t>
  </si>
  <si>
    <t xml:space="preserve">¿Se necesita poder crear y dar de baja usuarios sin solicitarlo a quien desarrolló el sistema?</t>
  </si>
  <si>
    <t xml:space="preserve">ADM-02</t>
  </si>
  <si>
    <t xml:space="preserve">¿Se necesita poder cambiar los permisos de un usuario de manera inmediata?</t>
  </si>
  <si>
    <t xml:space="preserve">ADM-03</t>
  </si>
  <si>
    <t xml:space="preserve">¿Se necesita poder retirar el acceso de un usuario el mismo día en que deja de trabajar en la finca?</t>
  </si>
  <si>
    <t xml:space="preserve">ADM-04</t>
  </si>
  <si>
    <t xml:space="preserve">¿Se necesita poder crear bloques, camas y secciones nuevas sin desarrollo adicional?</t>
  </si>
  <si>
    <t xml:space="preserve">ADM-05</t>
  </si>
  <si>
    <t xml:space="preserve">¿Se necesita poder crear variedades nuevas sin desarrollo adicional?</t>
  </si>
  <si>
    <t xml:space="preserve">ADM-06</t>
  </si>
  <si>
    <t xml:space="preserve">¿Se necesita poder cambiar los grados de calidad y sus definiciones sin desarrollo adicional?</t>
  </si>
  <si>
    <t xml:space="preserve">ADM-07</t>
  </si>
  <si>
    <t xml:space="preserve">¿Se necesita poder cambiar la densidad de siembra o los parámetros de cálculo sin desarrollo adicional?</t>
  </si>
  <si>
    <t xml:space="preserve">ADM-08</t>
  </si>
  <si>
    <t xml:space="preserve">¿Se necesita que un cambio de parámetros no altere las proyecciones ya emitidas?</t>
  </si>
  <si>
    <t xml:space="preserve">ADM-09</t>
  </si>
  <si>
    <t xml:space="preserve">¿Se necesita ver en una sola pantalla qué dispositivos tienen información pendiente de sincronizar?</t>
  </si>
  <si>
    <t xml:space="preserve">ADM-10</t>
  </si>
  <si>
    <t xml:space="preserve">¿Se necesita ver en una sola pantalla el avance de captura del día por bloque?</t>
  </si>
  <si>
    <t xml:space="preserve">ADM-11</t>
  </si>
  <si>
    <t xml:space="preserve">¿Se necesita poder forzar la sincronización de un dispositivo de manera remota?</t>
  </si>
  <si>
    <t xml:space="preserve">ADM-12</t>
  </si>
  <si>
    <t xml:space="preserve">¿Se necesita poder actualizar la aplicación en todos los dispositivos sin recogerlos uno por uno?</t>
  </si>
  <si>
    <t xml:space="preserve">ADM-13</t>
  </si>
  <si>
    <t xml:space="preserve">¿Se necesita que una actualización nunca obligue a suspender la captura del día?</t>
  </si>
  <si>
    <t xml:space="preserve">ADM-14</t>
  </si>
  <si>
    <t xml:space="preserve">¿Se necesita poder registrar por adelantado el calendario de temporadas y días no laborables?</t>
  </si>
  <si>
    <t xml:space="preserve">ADM-15</t>
  </si>
  <si>
    <t xml:space="preserve">¿Se necesita que la administración del sistema se pueda hacer desde un computador de la finca, sin herramientas técnicas especiales?</t>
  </si>
  <si>
    <t xml:space="preserve">ADM-16</t>
  </si>
  <si>
    <t xml:space="preserve">¿Se necesita que quien administra el sistema en la finca no pueda modificar la información de producción?</t>
  </si>
  <si>
    <t xml:space="preserve">UXP-01</t>
  </si>
  <si>
    <t xml:space="preserve">Experiencia de Usuario</t>
  </si>
  <si>
    <t xml:space="preserve">¿Se necesita que la captura se pueda completar con una sola mano?</t>
  </si>
  <si>
    <t xml:space="preserve">UXP-02</t>
  </si>
  <si>
    <t xml:space="preserve">¿Se necesita que la captura se pueda hacer con guantes puestos?</t>
  </si>
  <si>
    <t xml:space="preserve">UXP-03</t>
  </si>
  <si>
    <t xml:space="preserve">¿Se necesita que la pantalla sea legible bajo el sol directo?</t>
  </si>
  <si>
    <t xml:space="preserve">UXP-04</t>
  </si>
  <si>
    <t xml:space="preserve">¿Se necesita que la mayoría de los datos se capturen escogiendo de una lista y no escribiendo?</t>
  </si>
  <si>
    <t xml:space="preserve">UXP-05</t>
  </si>
  <si>
    <t xml:space="preserve">¿Se necesita reducir al mínimo la cantidad de toques necesarios para registrar una cama?</t>
  </si>
  <si>
    <t xml:space="preserve">UXP-06</t>
  </si>
  <si>
    <t xml:space="preserve">¿Se necesita poder deshacer el último dato registrado sin salir de la pantalla?</t>
  </si>
  <si>
    <t xml:space="preserve">UXP-07</t>
  </si>
  <si>
    <t xml:space="preserve">¿Se necesita ver en todo momento cuánto se lleva capturado y cuánto falta de la jornada?</t>
  </si>
  <si>
    <t xml:space="preserve">UXP-08</t>
  </si>
  <si>
    <t xml:space="preserve">¿Se necesita que la aplicación indique con claridad qué información ya se sincronizó y cuál no?</t>
  </si>
  <si>
    <t xml:space="preserve">UXP-09</t>
  </si>
  <si>
    <t xml:space="preserve">¿Se necesita que los nombres que aparecen en pantalla sean exactamente los que se usan hablando en la finca?</t>
  </si>
  <si>
    <t xml:space="preserve">UXP-10</t>
  </si>
  <si>
    <t xml:space="preserve">¿Se necesita que la aplicación se pueda usar sin capacitación formal previa?</t>
  </si>
  <si>
    <t xml:space="preserve">UXP-11</t>
  </si>
  <si>
    <t xml:space="preserve">¿Se necesita que una persona nueva pueda capturar correctamente su primera cama en menos de diez minutos de acompañamiento?</t>
  </si>
  <si>
    <t xml:space="preserve">UXP-12</t>
  </si>
  <si>
    <t xml:space="preserve">¿Se necesita poder identificar la cama escaneando una marca física en lugar de escribir el código?</t>
  </si>
  <si>
    <t xml:space="preserve">UXP-13</t>
  </si>
  <si>
    <t xml:space="preserve">¿Se necesita poder capturar dictando por voz en lugar de escribiendo?</t>
  </si>
  <si>
    <t xml:space="preserve">UXP-14</t>
  </si>
  <si>
    <t xml:space="preserve">¿Se necesita que el sistema sugiera valores mientras se captura, siempre que la sugerencia se pueda rechazar?</t>
  </si>
  <si>
    <t xml:space="preserve">UXP-15</t>
  </si>
  <si>
    <t xml:space="preserve">¿Se necesita que la consulta de resultados se pueda hacer desde un celular y no solo desde un computador?</t>
  </si>
  <si>
    <t xml:space="preserve">UXP-16</t>
  </si>
  <si>
    <t xml:space="preserve">¿Se necesita que cada quien pueda armar su propia vista de consulta sin pedirla a nadie?</t>
  </si>
  <si>
    <t xml:space="preserve">UXP-17</t>
  </si>
  <si>
    <t xml:space="preserve">¿Se necesita ver el estado de las camas sobre una representación gráfica del bloque y no solo en una lista?</t>
  </si>
  <si>
    <t xml:space="preserve">UXP-18</t>
  </si>
  <si>
    <t xml:space="preserve">¿Se necesita que los mensajes de error expliquen qué hacer y no solo qué salió mal?</t>
  </si>
  <si>
    <t xml:space="preserve">SEG-01</t>
  </si>
  <si>
    <t xml:space="preserve">Seguridad</t>
  </si>
  <si>
    <t xml:space="preserve">¿Se necesita que cada persona entre al sistema con una identificación propia y no compartida?</t>
  </si>
  <si>
    <t xml:space="preserve">SEG-02</t>
  </si>
  <si>
    <t xml:space="preserve">¿Se necesita poder entrar a la aplicación de captura estando sin conexión?</t>
  </si>
  <si>
    <t xml:space="preserve">SEG-03</t>
  </si>
  <si>
    <t xml:space="preserve">¿Se necesita que la sesión se cierre sola después de un tiempo sin uso?</t>
  </si>
  <si>
    <t xml:space="preserve">SEG-04</t>
  </si>
  <si>
    <t xml:space="preserve">¿Se necesita que la información guardada en el dispositivo quede ilegible si el dispositivo se pierde o lo roban?</t>
  </si>
  <si>
    <t xml:space="preserve">SEG-05</t>
  </si>
  <si>
    <t xml:space="preserve">¿Se necesita poder borrar de manera remota la información de un dispositivo perdido?</t>
  </si>
  <si>
    <t xml:space="preserve">SEG-06</t>
  </si>
  <si>
    <t xml:space="preserve">¿Se necesita que la información de una empresa nunca pueda ser vista desde otra empresa, bajo ninguna circunstancia?</t>
  </si>
  <si>
    <t xml:space="preserve">SEG-07</t>
  </si>
  <si>
    <t xml:space="preserve">¿Se necesita poder demostrar documentalmente ese aislamiento ante el cliente?</t>
  </si>
  <si>
    <t xml:space="preserve">SEG-08</t>
  </si>
  <si>
    <t xml:space="preserve">¿Se necesita que quien opera la plataforma no pueda leer la información de producción de la empresa?</t>
  </si>
  <si>
    <t xml:space="preserve">SEG-09</t>
  </si>
  <si>
    <t xml:space="preserve">¿Se necesita que todo acceso técnico a la información quede registrado y sea revisable?</t>
  </si>
  <si>
    <t xml:space="preserve">SEG-10</t>
  </si>
  <si>
    <t xml:space="preserve">¿Se necesita que la información viaje cifrada entre el dispositivo y la nube?</t>
  </si>
  <si>
    <t xml:space="preserve">SEG-11</t>
  </si>
  <si>
    <t xml:space="preserve">¿Se necesita que las copias de respaldo estén cifradas?</t>
  </si>
  <si>
    <t xml:space="preserve">SEG-12</t>
  </si>
  <si>
    <t xml:space="preserve">¿Se necesita que la llave para descifrar los respaldos sea distinta para cada empresa?</t>
  </si>
  <si>
    <t xml:space="preserve">SEG-13</t>
  </si>
  <si>
    <t xml:space="preserve">¿Se necesita restringir quién puede exportar información fuera del sistema?</t>
  </si>
  <si>
    <t xml:space="preserve">SEG-14</t>
  </si>
  <si>
    <t xml:space="preserve">¿Se necesita que quede registro de cada exportación realizada?</t>
  </si>
  <si>
    <t xml:space="preserve">SEG-15</t>
  </si>
  <si>
    <t xml:space="preserve">¿Se necesita marcar los archivos exportados para poder identificar su origen si se filtran?</t>
  </si>
  <si>
    <t xml:space="preserve">SEG-16</t>
  </si>
  <si>
    <t xml:space="preserve">¿Se necesita que el personal temporal tenga un acceso que caduque solo al terminar su contrato?</t>
  </si>
  <si>
    <t xml:space="preserve">SEG-17</t>
  </si>
  <si>
    <t xml:space="preserve">¿Se necesita que el sistema avise cuando alguien intenta entrar repetidamente sin lograrlo?</t>
  </si>
  <si>
    <t xml:space="preserve">SEG-18</t>
  </si>
  <si>
    <t xml:space="preserve">¿Se necesita que exista información que no pueda salir del país donde está la finca?</t>
  </si>
  <si>
    <t xml:space="preserve">SEG-19</t>
  </si>
  <si>
    <t xml:space="preserve">¿Se aceptaría que dentro de una misma empresa toda la información sea visible para todos sus usuarios?</t>
  </si>
  <si>
    <t xml:space="preserve">INT-01</t>
  </si>
  <si>
    <t xml:space="preserve">Interoperatividad</t>
  </si>
  <si>
    <t xml:space="preserve">¿Se necesita poder exportar la información a Excel?</t>
  </si>
  <si>
    <t xml:space="preserve">INT-02</t>
  </si>
  <si>
    <t xml:space="preserve">¿Se necesita poder exportar los reportes a PDF?</t>
  </si>
  <si>
    <t xml:space="preserve">INT-03</t>
  </si>
  <si>
    <t xml:space="preserve">¿Se necesita que la exportación conserve exactamente el formato de los archivos que hoy se comparten?</t>
  </si>
  <si>
    <t xml:space="preserve">INT-04</t>
  </si>
  <si>
    <t xml:space="preserve">¿Se necesita cargar la información inicial de la finca desde los archivos que ya existen?</t>
  </si>
  <si>
    <t xml:space="preserve">INT-05</t>
  </si>
  <si>
    <t xml:space="preserve">¿Se necesita que el sistema entregue información al sistema administrativo que la empresa ya tiene?</t>
  </si>
  <si>
    <t xml:space="preserve">INT-06</t>
  </si>
  <si>
    <t xml:space="preserve">¿Se necesita que el sistema tome información del sistema administrativo que la empresa ya tiene?</t>
  </si>
  <si>
    <t xml:space="preserve">INT-07</t>
  </si>
  <si>
    <t xml:space="preserve">¿Se necesita que el sistema conviva con la aplicación de plagas sin reemplazarla?</t>
  </si>
  <si>
    <t xml:space="preserve">INT-08</t>
  </si>
  <si>
    <t xml:space="preserve">¿Se necesita que el sistema consuma la información que produce la aplicación de plagas?</t>
  </si>
  <si>
    <t xml:space="preserve">INT-09</t>
  </si>
  <si>
    <t xml:space="preserve">¿Se necesita que el sistema entregue información al proceso de nómina o de productividades?</t>
  </si>
  <si>
    <t xml:space="preserve">INT-10</t>
  </si>
  <si>
    <t xml:space="preserve">¿Se necesita que la información se pueda leer desde una herramienta de análisis externa?</t>
  </si>
  <si>
    <t xml:space="preserve">INT-11</t>
  </si>
  <si>
    <t xml:space="preserve">¿Se necesita que exista una manera automática de conectar el sistema con otros programas, sin intervención manual?</t>
  </si>
  <si>
    <t xml:space="preserve">INT-12</t>
  </si>
  <si>
    <t xml:space="preserve">¿Se necesita que la información se pueda entregar a un cliente o a un comercializador externo?</t>
  </si>
  <si>
    <t xml:space="preserve">INT-13</t>
  </si>
  <si>
    <t xml:space="preserve">¿Se aceptaría que, en la primera entrega, la única forma de intercambio sea la exportación manual a Excel y PDF?</t>
  </si>
  <si>
    <t xml:space="preserve">ESL-01</t>
  </si>
  <si>
    <t xml:space="preserve">Escalabilidad</t>
  </si>
  <si>
    <t xml:space="preserve">¿Se necesita poder agregar bloques y camas nuevas en plena temporada sin interrumpir la operación?</t>
  </si>
  <si>
    <t xml:space="preserve">ESL-02</t>
  </si>
  <si>
    <t xml:space="preserve">¿Se necesita poder duplicar la cantidad de personas que capturan sin que el sistema se vuelva más lento?</t>
  </si>
  <si>
    <t xml:space="preserve">ESL-03</t>
  </si>
  <si>
    <t xml:space="preserve">¿Se necesita poder agregar una finca nueva sin volver a instalar ni reconfigurar todo?</t>
  </si>
  <si>
    <t xml:space="preserve">ESL-04</t>
  </si>
  <si>
    <t xml:space="preserve">¿Se necesita poder agregar una empresa nueva sin afectar a las que ya están funcionando?</t>
  </si>
  <si>
    <t xml:space="preserve">ESL-05</t>
  </si>
  <si>
    <t xml:space="preserve">¿Se necesita soportar el aumento de actividad de la temporada alta sin degradación perceptible?</t>
  </si>
  <si>
    <t xml:space="preserve">ESL-06</t>
  </si>
  <si>
    <t xml:space="preserve">¿Se necesita soportar que varias empresas tengan su pico de temporada exactamente en las mismas fechas?</t>
  </si>
  <si>
    <t xml:space="preserve">ESL-07</t>
  </si>
  <si>
    <t xml:space="preserve">¿Se necesita que el crecimiento del sistema no implique un aumento proporcional del costo por finca?</t>
  </si>
  <si>
    <t xml:space="preserve">ESL-08</t>
  </si>
  <si>
    <t xml:space="preserve">¿Se necesita que un cambio en la estructura del sistema se aplique a todas las empresas sin intervención manual una por una?</t>
  </si>
  <si>
    <t xml:space="preserve">ESL-09</t>
  </si>
  <si>
    <t xml:space="preserve">¿Se necesita que el sistema soporte varios años de historia acumulada sin que las consultas se vuelvan lentas?</t>
  </si>
  <si>
    <t xml:space="preserve">ESL-10</t>
  </si>
  <si>
    <t xml:space="preserve">¿Se necesita prever el uso simultáneo de más de treinta personas subiendo información el mismo día?</t>
  </si>
  <si>
    <t xml:space="preserve">ESL-11</t>
  </si>
  <si>
    <t xml:space="preserve">¿Se necesita que agregar un tipo de labor o de medición nueva no exija rehacer la captura existente?</t>
  </si>
  <si>
    <t xml:space="preserve">SOP-01</t>
  </si>
  <si>
    <t xml:space="preserve">Capacidad para ser Soportado</t>
  </si>
  <si>
    <t xml:space="preserve">¿Se necesita que exista alguien dentro de la finca capaz de resolver los problemas del día a día?</t>
  </si>
  <si>
    <t xml:space="preserve">SOP-02</t>
  </si>
  <si>
    <t xml:space="preserve">¿Se necesita que un problema en plena jornada de captura se resuelva el mismo día?</t>
  </si>
  <si>
    <t xml:space="preserve">SOP-03</t>
  </si>
  <si>
    <t xml:space="preserve">¿Se necesita que un problema en plena jornada de captura se resuelva en menos de una hora?</t>
  </si>
  <si>
    <t xml:space="preserve">SOP-04</t>
  </si>
  <si>
    <t xml:space="preserve">¿Se necesita poder reportar un problema desde la misma aplicación, sin llamar por teléfono?</t>
  </si>
  <si>
    <t xml:space="preserve">SOP-05</t>
  </si>
  <si>
    <t xml:space="preserve">¿Se necesita que el reporte de un problema incluya automáticamente lo que estaba haciendo la persona cuando ocurrió?</t>
  </si>
  <si>
    <t xml:space="preserve">SOP-06</t>
  </si>
  <si>
    <t xml:space="preserve">¿Se necesita poder diagnosticar un problema sin tener que desplazarse hasta la finca?</t>
  </si>
  <si>
    <t xml:space="preserve">SOP-07</t>
  </si>
  <si>
    <t xml:space="preserve">¿Se necesita poder revisar el estado de un dispositivo de forma remota?</t>
  </si>
  <si>
    <t xml:space="preserve">SOP-08</t>
  </si>
  <si>
    <t xml:space="preserve">¿Se necesita que el soporte esté disponible en horario extendido durante la temporada alta?</t>
  </si>
  <si>
    <t xml:space="preserve">SOP-09</t>
  </si>
  <si>
    <t xml:space="preserve">¿Se necesita que exista un manual de uso escrito?</t>
  </si>
  <si>
    <t xml:space="preserve">SOP-10</t>
  </si>
  <si>
    <t xml:space="preserve">¿Se necesita que existan videos cortos de apoyo dentro de la propia aplicación?</t>
  </si>
  <si>
    <t xml:space="preserve">SOP-11</t>
  </si>
  <si>
    <t xml:space="preserve">¿Se necesita que la persona que capturó pueda seguir trabajando mientras su problema se resuelve?</t>
  </si>
  <si>
    <t xml:space="preserve">SOP-12</t>
  </si>
  <si>
    <t xml:space="preserve">¿Se necesita llevar un registro de los problemas reportados y de cómo se resolvieron?</t>
  </si>
  <si>
    <t xml:space="preserve">SOP-13</t>
  </si>
  <si>
    <t xml:space="preserve">¿Se necesita que la puesta en marcha del sistema no detenga la operación por más de una semana?</t>
  </si>
  <si>
    <t xml:space="preserve">POR-01</t>
  </si>
  <si>
    <t xml:space="preserve">Portabilidad</t>
  </si>
  <si>
    <t xml:space="preserve">¿Se necesita que la aplicación de captura funcione en dispositivos Android?</t>
  </si>
  <si>
    <t xml:space="preserve">POR-02</t>
  </si>
  <si>
    <t xml:space="preserve">¿Se necesita que la aplicación de captura funcione también en dispositivos Apple?</t>
  </si>
  <si>
    <t xml:space="preserve">POR-03</t>
  </si>
  <si>
    <t xml:space="preserve">¿Se necesita que la aplicación funcione en tabletas además de en celulares?</t>
  </si>
  <si>
    <t xml:space="preserve">POR-04</t>
  </si>
  <si>
    <t xml:space="preserve">¿Se necesita que la consulta funcione en cualquier navegador, sin instalar nada?</t>
  </si>
  <si>
    <t xml:space="preserve">POR-05</t>
  </si>
  <si>
    <t xml:space="preserve">¿Se necesita que el dispositivo de captura lo ponga cada persona y no la empresa?</t>
  </si>
  <si>
    <t xml:space="preserve">POR-06</t>
  </si>
  <si>
    <t xml:space="preserve">¿Se necesita poder cambiar de dispositivo conservando la información que aún no se ha sincronizado?</t>
  </si>
  <si>
    <t xml:space="preserve">POR-07</t>
  </si>
  <si>
    <t xml:space="preserve">¿Se necesita que la misma persona pueda usar dos dispositivos distintos el mismo día?</t>
  </si>
  <si>
    <t xml:space="preserve">POR-08</t>
  </si>
  <si>
    <t xml:space="preserve">¿Se necesita que el sistema pueda operar en una finca ubicada en otro país?</t>
  </si>
  <si>
    <t xml:space="preserve">POR-09</t>
  </si>
  <si>
    <t xml:space="preserve">¿Se necesita que el sistema maneje otro idioma además del español?</t>
  </si>
  <si>
    <t xml:space="preserve">POR-10</t>
  </si>
  <si>
    <t xml:space="preserve">¿Se necesita que el sistema maneje unidades de medida distintas según la finca?</t>
  </si>
  <si>
    <t xml:space="preserve">POR-11</t>
  </si>
  <si>
    <t xml:space="preserve">¿Se necesita poder llevarse toda la información en un formato utilizable si se termina la relación con el proveedor?</t>
  </si>
  <si>
    <t xml:space="preserve">POR-12</t>
  </si>
  <si>
    <t xml:space="preserve">¿Se necesita que el sistema pueda instalarse en servidores de la propia empresa y no solo en la nube?</t>
  </si>
  <si>
    <t xml:space="preserve">POR-13</t>
  </si>
  <si>
    <t xml:space="preserve">¿Se necesita que el sistema pueda funcionar con un tipo de flor distinto al que se maneja hoy?</t>
  </si>
  <si>
    <t xml:space="preserve">ACC-01</t>
  </si>
  <si>
    <t xml:space="preserve">Accesibilidad</t>
  </si>
  <si>
    <t xml:space="preserve">¿Se necesita que el sistema lo pueda usar una persona con poca experiencia en el manejo de celulares?</t>
  </si>
  <si>
    <t xml:space="preserve">ACC-02</t>
  </si>
  <si>
    <t xml:space="preserve">¿Se necesita que el sistema lo pueda usar una persona con dificultad para leer textos largos?</t>
  </si>
  <si>
    <t xml:space="preserve">ACC-03</t>
  </si>
  <si>
    <t xml:space="preserve">¿Se necesita que las opciones se identifiquen con imágenes o símbolos además de con palabras?</t>
  </si>
  <si>
    <t xml:space="preserve">ACC-04</t>
  </si>
  <si>
    <t xml:space="preserve">¿Se necesita que el tamaño de la letra se pueda aumentar sin que la pantalla deje de funcionar?</t>
  </si>
  <si>
    <t xml:space="preserve">ACC-05</t>
  </si>
  <si>
    <t xml:space="preserve">¿Se necesita que la información nunca dependa solo del color para entenderse?</t>
  </si>
  <si>
    <t xml:space="preserve">ACC-06</t>
  </si>
  <si>
    <t xml:space="preserve">¿Se necesita que el sistema sea usable por una persona que no distingue ciertos colores?</t>
  </si>
  <si>
    <t xml:space="preserve">ACC-07</t>
  </si>
  <si>
    <t xml:space="preserve">¿Se necesita que los botones sean lo bastante grandes para acertarles sin precisión fina?</t>
  </si>
  <si>
    <t xml:space="preserve">ACC-08</t>
  </si>
  <si>
    <t xml:space="preserve">¿Se necesita que la aplicación se pueda escuchar en lugar de leer?</t>
  </si>
  <si>
    <t xml:space="preserve">ACC-09</t>
  </si>
  <si>
    <t xml:space="preserve">¿Se necesita que la aplicación funcione en un ambiente ruidoso, sin depender del sonido?</t>
  </si>
  <si>
    <t xml:space="preserve">ACC-10</t>
  </si>
  <si>
    <t xml:space="preserve">¿Se necesita que la consulta web cumpla algún estándar formal de accesibilidad?</t>
  </si>
  <si>
    <t xml:space="preserve">ACC-11</t>
  </si>
  <si>
    <t xml:space="preserve">¿Se necesita que exista una manera alternativa de reportar la información cuando alguien no puede usar el dispositivo?</t>
  </si>
  <si>
    <t xml:space="preserve">FIN-01</t>
  </si>
  <si>
    <t xml:space="preserve">Cierre de la sesión</t>
  </si>
  <si>
    <t xml:space="preserve">De todo lo que respondió «Sí», ¿hay algo que, si el sistema no lo cumple, haría que no valga la pena usarlo?</t>
  </si>
  <si>
    <t xml:space="preserve">FIN-02</t>
  </si>
  <si>
    <t xml:space="preserve">¿Hay alguna de estas exigencias que esté dispuesto a sacrificar con tal de que la captura en campo sea más rápida?</t>
  </si>
  <si>
    <t xml:space="preserve">FIN-03</t>
  </si>
  <si>
    <t xml:space="preserve">¿Hay algo que necesite el sistema y que ninguna de estas preguntas haya tocado?</t>
  </si>
  <si>
    <t xml:space="preserve">Resumen de respuestas por atributo</t>
  </si>
  <si>
    <t xml:space="preserve">Se calcula solo a partir de la hoja «Preguntas». No escribir en esta hoja. Los atributos van en el orden del nuevo mini QAW.</t>
  </si>
  <si>
    <t xml:space="preserve">Prioridad</t>
  </si>
  <si>
    <t xml:space="preserve">Qué mide</t>
  </si>
  <si>
    <t xml:space="preserve">Mini QAW</t>
  </si>
  <si>
    <t xml:space="preserve">Preguntas</t>
  </si>
  <si>
    <t xml:space="preserve">No</t>
  </si>
  <si>
    <t xml:space="preserve">N/A</t>
  </si>
  <si>
    <t xml:space="preserve">Sin responder</t>
  </si>
  <si>
    <t xml:space="preserve">% respondido</t>
  </si>
  <si>
    <t xml:space="preserve">Que la información sea correcta, que el sistema no entregue resultados equivocados y que nada se pierda cuando algo falla. Absorbe lo que antes se llamaba Seguridad de funcionamiento.</t>
  </si>
  <si>
    <t xml:space="preserve">Que se pueda usar cuando se necesita, incluso sin conexión o con fallos.</t>
  </si>
  <si>
    <t xml:space="preserve">Que responda con la rapidez que exige el ritmo del campo.</t>
  </si>
  <si>
    <t xml:space="preserve">Que se pueda reconstruir quién hizo qué y con qué información, y demostrarlo ante quien lo exija. Mezcla trazabilidad y cumplimiento.</t>
  </si>
  <si>
    <t xml:space="preserve">Cuánta información tiene que soportar y por cuánto tiempo.</t>
  </si>
  <si>
    <t xml:space="preserve">Que el día a día del sistema se pueda manejar desde adentro, sin desarrollo.</t>
  </si>
  <si>
    <t xml:space="preserve">Que capturar sea más fácil que el papel, en las condiciones del cultivo.</t>
  </si>
  <si>
    <t xml:space="preserve">Que la información no llegue a quien no debe.</t>
  </si>
  <si>
    <t xml:space="preserve">Qué tanto tiene que hablar con lo que ya existe.</t>
  </si>
  <si>
    <t xml:space="preserve">Que crecer no obligue a rehacerlo.</t>
  </si>
  <si>
    <t xml:space="preserve">Qué pasa cuando algo falla y hay que resolverlo.</t>
  </si>
  <si>
    <t xml:space="preserve">Dónde y sobre qué tiene que poder funcionar.</t>
  </si>
  <si>
    <t xml:space="preserve">Que todo el que deba usarlo pueda usarlo.</t>
  </si>
  <si>
    <t xml:space="preserve">Preguntas que ordenan todo lo anterior y rompen los empates del ranking.</t>
  </si>
  <si>
    <t xml:space="preserve">TOTAL</t>
  </si>
  <si>
    <t xml:space="preserve">Lectura: el patrón de síes de esta hoja funciona como un ranking hecho con evidencia, no con una encuesta de ordenamiento. Sirve para romper los tres empates del mini QAW (Rendimiento/Auditado 17, UX/Seguridad 24, Interoperatividad/Escalabilidad 25).</t>
  </si>
  <si>
    <t xml:space="preserve">Ranking de atributos — nuevo mini QAW</t>
  </si>
  <si>
    <t xml:space="preserve">Puntuación por actor. Menor puntuación = mayor prioridad. Total y porcentaje se calculan solos.</t>
  </si>
  <si>
    <t xml:space="preserve">Supervisor de campo</t>
  </si>
  <si>
    <t xml:space="preserve">Gerente de producción</t>
  </si>
  <si>
    <t xml:space="preserve">Administrador del sistema</t>
  </si>
  <si>
    <t xml:space="preserve">Total</t>
  </si>
  <si>
    <t xml:space="preserve">Porcentaje</t>
  </si>
  <si>
    <t xml:space="preserve">Empates sin romper: Rendimiento y Capacidad para ser Auditado (17) · Experiencia de Usuario y Seguridad (24) · Interoperatividad y Escalabilidad (25).</t>
  </si>
  <si>
    <t xml:space="preserve">Seguridad de funcionamiento ya no aparece: quedó absorbida por Confiabilidad. Capacidad para ser Auditado sustituye a Trazabilidad y la amplía con cumplimiento.</t>
  </si>
  <si>
    <t xml:space="preserve">Confiabilidad es 1 para los tres actores: es el único consenso total del proyecto y por eso concentra 57 de las 262 preguntas.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</si>
</sst>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General"/>
    <numFmt numFmtId="167" formatCode="0.0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99"/>
        <bgColor rgb="FFFFFFCC"/>
      </patternFill>
    </fill>
    <fill>
      <patternFill patternType="solid">
        <fgColor rgb="FFE2EFDA"/>
        <bgColor rgb="FFD9E2F3"/>
      </patternFill>
    </fill>
    <fill>
      <patternFill patternType="solid">
        <fgColor rgb="FFD9E2F3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F9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8"/>
    <col collapsed="false" customWidth="true" hidden="false" outlineLevel="0" max="3" min="3" style="0" width="28"/>
    <col collapsed="false" customWidth="true" hidden="false" outlineLevel="0" max="4" min="4" style="0" width="52"/>
    <col collapsed="false" customWidth="true" hidden="false" outlineLevel="0" max="5" min="5" style="0" width="12"/>
    <col collapsed="false" customWidth="true" hidden="false" outlineLevel="0" max="6" min="6" style="0" width="42"/>
  </cols>
  <sheetData>
    <row r="1" customFormat="false" ht="48.5" hidden="false" customHeight="false" outlineLevel="0" collapsed="false">
      <c r="A1" s="1" t="s">
        <v>0</v>
      </c>
    </row>
    <row r="2" customFormat="false" ht="23.8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57.45" hidden="false" customHeight="false" outlineLevel="0" collapsed="false">
      <c r="A5" s="3" t="s">
        <v>3</v>
      </c>
    </row>
    <row r="6" customFormat="false" ht="79.85" hidden="false" customHeight="false" outlineLevel="0" collapsed="false">
      <c r="A6" s="3" t="s">
        <v>4</v>
      </c>
    </row>
    <row r="7" customFormat="false" ht="23.85" hidden="false" customHeight="false" outlineLevel="0" collapsed="false">
      <c r="A7" s="3" t="s">
        <v>5</v>
      </c>
    </row>
    <row r="8" customFormat="false" ht="35.05" hidden="false" customHeight="false" outlineLevel="0" collapsed="false">
      <c r="A8" s="5" t="s">
        <v>6</v>
      </c>
    </row>
    <row r="9" customFormat="false" ht="23.85" hidden="false" customHeight="false" outlineLevel="0" collapsed="false">
      <c r="A9" s="3" t="s">
        <v>7</v>
      </c>
    </row>
    <row r="10" customFormat="false" ht="15" hidden="false" customHeight="false" outlineLevel="0" collapsed="false">
      <c r="A10" s="3"/>
    </row>
    <row r="11" customFormat="false" ht="15" hidden="false" customHeight="false" outlineLevel="0" collapsed="false">
      <c r="A11" s="4" t="s">
        <v>8</v>
      </c>
    </row>
    <row r="12" customFormat="false" ht="35.05" hidden="false" customHeight="false" outlineLevel="0" collapsed="false">
      <c r="A12" s="3" t="s">
        <v>9</v>
      </c>
    </row>
    <row r="13" customFormat="false" ht="23.85" hidden="false" customHeight="false" outlineLevel="0" collapsed="false">
      <c r="A13" s="3" t="s">
        <v>10</v>
      </c>
    </row>
    <row r="14" customFormat="false" ht="35.05" hidden="false" customHeight="false" outlineLevel="0" collapsed="false">
      <c r="A14" s="3" t="s">
        <v>11</v>
      </c>
    </row>
    <row r="15" customFormat="false" ht="23.85" hidden="false" customHeight="false" outlineLevel="0" collapsed="false">
      <c r="A15" s="3" t="s">
        <v>12</v>
      </c>
    </row>
    <row r="16" customFormat="false" ht="15" hidden="false" customHeight="false" outlineLevel="0" collapsed="false">
      <c r="A16" s="3"/>
    </row>
    <row r="17" customFormat="false" ht="15" hidden="false" customHeight="false" outlineLevel="0" collapsed="false">
      <c r="A17" s="4" t="s">
        <v>13</v>
      </c>
    </row>
    <row r="18" customFormat="false" ht="23.85" hidden="false" customHeight="false" outlineLevel="0" collapsed="false">
      <c r="A18" s="3" t="s">
        <v>14</v>
      </c>
    </row>
    <row r="19" customFormat="false" ht="46.25" hidden="false" customHeight="false" outlineLevel="0" collapsed="false">
      <c r="A19" s="3" t="s">
        <v>15</v>
      </c>
    </row>
    <row r="20" customFormat="false" ht="57.45" hidden="false" customHeight="false" outlineLevel="0" collapsed="false">
      <c r="A20" s="3" t="s">
        <v>16</v>
      </c>
    </row>
    <row r="21" customFormat="false" ht="57.45" hidden="false" customHeight="false" outlineLevel="0" collapsed="false">
      <c r="A21" s="5" t="s">
        <v>17</v>
      </c>
    </row>
    <row r="22" customFormat="false" ht="23.85" hidden="false" customHeight="false" outlineLevel="0" collapsed="false">
      <c r="A22" s="3" t="s">
        <v>18</v>
      </c>
    </row>
    <row r="23" customFormat="false" ht="15" hidden="false" customHeight="false" outlineLevel="0" collapsed="false">
      <c r="A23" s="3"/>
    </row>
    <row r="24" customFormat="false" ht="15" hidden="false" customHeight="false" outlineLevel="0" collapsed="false">
      <c r="A24" s="4" t="s">
        <v>19</v>
      </c>
    </row>
    <row r="25" customFormat="false" ht="15" hidden="false" customHeight="false" outlineLevel="0" collapsed="false">
      <c r="A25" s="6" t="s">
        <v>20</v>
      </c>
      <c r="B25" s="6" t="s">
        <v>21</v>
      </c>
      <c r="C25" s="6" t="s">
        <v>22</v>
      </c>
      <c r="D25" s="6" t="s">
        <v>23</v>
      </c>
      <c r="E25" s="6" t="s">
        <v>24</v>
      </c>
      <c r="F25" s="6" t="s">
        <v>25</v>
      </c>
    </row>
    <row r="26" customFormat="false" ht="45.75" hidden="false" customHeight="true" outlineLevel="0" collapsed="false">
      <c r="A26" s="7" t="s">
        <v>26</v>
      </c>
      <c r="B26" s="7" t="s">
        <v>27</v>
      </c>
      <c r="C26" s="7" t="s">
        <v>28</v>
      </c>
      <c r="D26" s="7" t="s">
        <v>29</v>
      </c>
      <c r="E26" s="8" t="s">
        <v>30</v>
      </c>
      <c r="F26" s="8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8"/>
    <col collapsed="false" customWidth="true" hidden="false" outlineLevel="0" max="3" min="3" style="0" width="36"/>
    <col collapsed="false" customWidth="true" hidden="false" outlineLevel="0" max="4" min="4" style="0" width="88"/>
    <col collapsed="false" customWidth="true" hidden="false" outlineLevel="0" max="5" min="5" style="0" width="12"/>
    <col collapsed="false" customWidth="true" hidden="false" outlineLevel="0" max="6" min="6" style="0" width="40"/>
    <col collapsed="false" customWidth="true" hidden="false" outlineLevel="0" max="7" min="7" style="0" width="12"/>
  </cols>
  <sheetData>
    <row r="1" customFormat="false" ht="27.75" hidden="false" customHeight="true" outlineLevel="0" collapsed="false">
      <c r="A1" s="6" t="s">
        <v>20</v>
      </c>
      <c r="B1" s="6" t="s">
        <v>21</v>
      </c>
      <c r="C1" s="6" t="s">
        <v>22</v>
      </c>
      <c r="D1" s="6" t="s">
        <v>23</v>
      </c>
      <c r="E1" s="6" t="s">
        <v>24</v>
      </c>
      <c r="F1" s="6" t="s">
        <v>25</v>
      </c>
      <c r="G1" s="6" t="s">
        <v>32</v>
      </c>
    </row>
    <row r="2" customFormat="false" ht="30" hidden="false" customHeight="true" outlineLevel="0" collapsed="false">
      <c r="A2" s="9" t="s">
        <v>33</v>
      </c>
      <c r="B2" s="10" t="s">
        <v>27</v>
      </c>
      <c r="C2" s="10" t="s">
        <v>28</v>
      </c>
      <c r="D2" s="10" t="s">
        <v>34</v>
      </c>
      <c r="E2" s="11"/>
      <c r="F2" s="12"/>
      <c r="G2" s="11"/>
    </row>
    <row r="3" customFormat="false" ht="30" hidden="false" customHeight="true" outlineLevel="0" collapsed="false">
      <c r="A3" s="9" t="s">
        <v>35</v>
      </c>
      <c r="B3" s="10" t="s">
        <v>27</v>
      </c>
      <c r="C3" s="10" t="s">
        <v>28</v>
      </c>
      <c r="D3" s="10" t="s">
        <v>36</v>
      </c>
      <c r="E3" s="11"/>
      <c r="F3" s="12"/>
      <c r="G3" s="11"/>
    </row>
    <row r="4" customFormat="false" ht="30" hidden="false" customHeight="true" outlineLevel="0" collapsed="false">
      <c r="A4" s="9" t="s">
        <v>37</v>
      </c>
      <c r="B4" s="10" t="s">
        <v>27</v>
      </c>
      <c r="C4" s="10" t="s">
        <v>28</v>
      </c>
      <c r="D4" s="10" t="s">
        <v>38</v>
      </c>
      <c r="E4" s="11"/>
      <c r="F4" s="12"/>
      <c r="G4" s="11"/>
    </row>
    <row r="5" customFormat="false" ht="30" hidden="false" customHeight="true" outlineLevel="0" collapsed="false">
      <c r="A5" s="9" t="s">
        <v>26</v>
      </c>
      <c r="B5" s="10" t="s">
        <v>27</v>
      </c>
      <c r="C5" s="10" t="s">
        <v>28</v>
      </c>
      <c r="D5" s="10" t="s">
        <v>29</v>
      </c>
      <c r="E5" s="11"/>
      <c r="F5" s="12"/>
      <c r="G5" s="11"/>
    </row>
    <row r="6" customFormat="false" ht="30" hidden="false" customHeight="true" outlineLevel="0" collapsed="false">
      <c r="A6" s="9" t="s">
        <v>39</v>
      </c>
      <c r="B6" s="10" t="s">
        <v>27</v>
      </c>
      <c r="C6" s="10" t="s">
        <v>28</v>
      </c>
      <c r="D6" s="10" t="s">
        <v>40</v>
      </c>
      <c r="E6" s="11"/>
      <c r="F6" s="12"/>
      <c r="G6" s="11"/>
    </row>
    <row r="7" customFormat="false" ht="30" hidden="false" customHeight="true" outlineLevel="0" collapsed="false">
      <c r="A7" s="9" t="s">
        <v>41</v>
      </c>
      <c r="B7" s="10" t="s">
        <v>27</v>
      </c>
      <c r="C7" s="10" t="s">
        <v>28</v>
      </c>
      <c r="D7" s="10" t="s">
        <v>42</v>
      </c>
      <c r="E7" s="11"/>
      <c r="F7" s="12"/>
      <c r="G7" s="11"/>
    </row>
    <row r="8" customFormat="false" ht="30" hidden="false" customHeight="true" outlineLevel="0" collapsed="false">
      <c r="A8" s="9" t="s">
        <v>43</v>
      </c>
      <c r="B8" s="10" t="s">
        <v>27</v>
      </c>
      <c r="C8" s="10" t="s">
        <v>28</v>
      </c>
      <c r="D8" s="10" t="s">
        <v>44</v>
      </c>
      <c r="E8" s="11"/>
      <c r="F8" s="12"/>
      <c r="G8" s="11"/>
    </row>
    <row r="9" customFormat="false" ht="30" hidden="false" customHeight="true" outlineLevel="0" collapsed="false">
      <c r="A9" s="9" t="s">
        <v>45</v>
      </c>
      <c r="B9" s="10" t="s">
        <v>27</v>
      </c>
      <c r="C9" s="10" t="s">
        <v>28</v>
      </c>
      <c r="D9" s="10" t="s">
        <v>46</v>
      </c>
      <c r="E9" s="11"/>
      <c r="F9" s="12"/>
      <c r="G9" s="11"/>
    </row>
    <row r="10" customFormat="false" ht="30" hidden="false" customHeight="true" outlineLevel="0" collapsed="false">
      <c r="A10" s="9" t="s">
        <v>47</v>
      </c>
      <c r="B10" s="10" t="s">
        <v>27</v>
      </c>
      <c r="C10" s="10" t="s">
        <v>28</v>
      </c>
      <c r="D10" s="10" t="s">
        <v>48</v>
      </c>
      <c r="E10" s="11"/>
      <c r="F10" s="12"/>
      <c r="G10" s="11"/>
    </row>
    <row r="11" customFormat="false" ht="30" hidden="false" customHeight="true" outlineLevel="0" collapsed="false">
      <c r="A11" s="9" t="s">
        <v>49</v>
      </c>
      <c r="B11" s="10" t="s">
        <v>27</v>
      </c>
      <c r="C11" s="10" t="s">
        <v>50</v>
      </c>
      <c r="D11" s="10" t="s">
        <v>51</v>
      </c>
      <c r="E11" s="11"/>
      <c r="F11" s="12"/>
      <c r="G11" s="11"/>
    </row>
    <row r="12" customFormat="false" ht="30" hidden="false" customHeight="true" outlineLevel="0" collapsed="false">
      <c r="A12" s="9" t="s">
        <v>52</v>
      </c>
      <c r="B12" s="10" t="s">
        <v>27</v>
      </c>
      <c r="C12" s="10" t="s">
        <v>50</v>
      </c>
      <c r="D12" s="10" t="s">
        <v>53</v>
      </c>
      <c r="E12" s="11"/>
      <c r="F12" s="12"/>
      <c r="G12" s="11"/>
    </row>
    <row r="13" customFormat="false" ht="30" hidden="false" customHeight="true" outlineLevel="0" collapsed="false">
      <c r="A13" s="9" t="s">
        <v>54</v>
      </c>
      <c r="B13" s="10" t="s">
        <v>27</v>
      </c>
      <c r="C13" s="10" t="s">
        <v>50</v>
      </c>
      <c r="D13" s="10" t="s">
        <v>55</v>
      </c>
      <c r="E13" s="11"/>
      <c r="F13" s="12"/>
      <c r="G13" s="11"/>
    </row>
    <row r="14" customFormat="false" ht="30" hidden="false" customHeight="true" outlineLevel="0" collapsed="false">
      <c r="A14" s="9" t="s">
        <v>56</v>
      </c>
      <c r="B14" s="10" t="s">
        <v>27</v>
      </c>
      <c r="C14" s="10" t="s">
        <v>50</v>
      </c>
      <c r="D14" s="10" t="s">
        <v>57</v>
      </c>
      <c r="E14" s="11"/>
      <c r="F14" s="12"/>
      <c r="G14" s="11"/>
    </row>
    <row r="15" customFormat="false" ht="30" hidden="false" customHeight="true" outlineLevel="0" collapsed="false">
      <c r="A15" s="9" t="s">
        <v>58</v>
      </c>
      <c r="B15" s="10" t="s">
        <v>27</v>
      </c>
      <c r="C15" s="10" t="s">
        <v>50</v>
      </c>
      <c r="D15" s="10" t="s">
        <v>59</v>
      </c>
      <c r="E15" s="11"/>
      <c r="F15" s="12"/>
      <c r="G15" s="11"/>
    </row>
    <row r="16" customFormat="false" ht="30" hidden="false" customHeight="true" outlineLevel="0" collapsed="false">
      <c r="A16" s="9" t="s">
        <v>60</v>
      </c>
      <c r="B16" s="10" t="s">
        <v>27</v>
      </c>
      <c r="C16" s="10" t="s">
        <v>50</v>
      </c>
      <c r="D16" s="10" t="s">
        <v>61</v>
      </c>
      <c r="E16" s="11"/>
      <c r="F16" s="12"/>
      <c r="G16" s="11"/>
    </row>
    <row r="17" customFormat="false" ht="30" hidden="false" customHeight="true" outlineLevel="0" collapsed="false">
      <c r="A17" s="9" t="s">
        <v>62</v>
      </c>
      <c r="B17" s="10" t="s">
        <v>27</v>
      </c>
      <c r="C17" s="10" t="s">
        <v>50</v>
      </c>
      <c r="D17" s="10" t="s">
        <v>63</v>
      </c>
      <c r="E17" s="11"/>
      <c r="F17" s="12"/>
      <c r="G17" s="11"/>
    </row>
    <row r="18" customFormat="false" ht="30" hidden="false" customHeight="true" outlineLevel="0" collapsed="false">
      <c r="A18" s="9" t="s">
        <v>64</v>
      </c>
      <c r="B18" s="10" t="s">
        <v>27</v>
      </c>
      <c r="C18" s="10" t="s">
        <v>50</v>
      </c>
      <c r="D18" s="10" t="s">
        <v>65</v>
      </c>
      <c r="E18" s="11"/>
      <c r="F18" s="12"/>
      <c r="G18" s="11"/>
    </row>
    <row r="19" customFormat="false" ht="30" hidden="false" customHeight="true" outlineLevel="0" collapsed="false">
      <c r="A19" s="9" t="s">
        <v>66</v>
      </c>
      <c r="B19" s="10" t="s">
        <v>27</v>
      </c>
      <c r="C19" s="10" t="s">
        <v>50</v>
      </c>
      <c r="D19" s="10" t="s">
        <v>67</v>
      </c>
      <c r="E19" s="11"/>
      <c r="F19" s="12"/>
      <c r="G19" s="11"/>
    </row>
    <row r="20" customFormat="false" ht="30" hidden="false" customHeight="true" outlineLevel="0" collapsed="false">
      <c r="A20" s="9" t="s">
        <v>68</v>
      </c>
      <c r="B20" s="10" t="s">
        <v>27</v>
      </c>
      <c r="C20" s="10" t="s">
        <v>69</v>
      </c>
      <c r="D20" s="10" t="s">
        <v>70</v>
      </c>
      <c r="E20" s="11"/>
      <c r="F20" s="12"/>
      <c r="G20" s="11"/>
    </row>
    <row r="21" customFormat="false" ht="30" hidden="false" customHeight="true" outlineLevel="0" collapsed="false">
      <c r="A21" s="9" t="s">
        <v>71</v>
      </c>
      <c r="B21" s="10" t="s">
        <v>27</v>
      </c>
      <c r="C21" s="10" t="s">
        <v>69</v>
      </c>
      <c r="D21" s="10" t="s">
        <v>72</v>
      </c>
      <c r="E21" s="11"/>
      <c r="F21" s="12"/>
      <c r="G21" s="11"/>
    </row>
    <row r="22" customFormat="false" ht="30" hidden="false" customHeight="true" outlineLevel="0" collapsed="false">
      <c r="A22" s="9" t="s">
        <v>73</v>
      </c>
      <c r="B22" s="10" t="s">
        <v>27</v>
      </c>
      <c r="C22" s="10" t="s">
        <v>69</v>
      </c>
      <c r="D22" s="10" t="s">
        <v>74</v>
      </c>
      <c r="E22" s="11"/>
      <c r="F22" s="12"/>
      <c r="G22" s="11"/>
    </row>
    <row r="23" customFormat="false" ht="30" hidden="false" customHeight="true" outlineLevel="0" collapsed="false">
      <c r="A23" s="9" t="s">
        <v>75</v>
      </c>
      <c r="B23" s="10" t="s">
        <v>27</v>
      </c>
      <c r="C23" s="10" t="s">
        <v>69</v>
      </c>
      <c r="D23" s="10" t="s">
        <v>76</v>
      </c>
      <c r="E23" s="11"/>
      <c r="F23" s="12"/>
      <c r="G23" s="11"/>
    </row>
    <row r="24" customFormat="false" ht="30" hidden="false" customHeight="true" outlineLevel="0" collapsed="false">
      <c r="A24" s="9" t="s">
        <v>77</v>
      </c>
      <c r="B24" s="10" t="s">
        <v>27</v>
      </c>
      <c r="C24" s="10" t="s">
        <v>69</v>
      </c>
      <c r="D24" s="10" t="s">
        <v>78</v>
      </c>
      <c r="E24" s="11"/>
      <c r="F24" s="12"/>
      <c r="G24" s="11"/>
    </row>
    <row r="25" customFormat="false" ht="30" hidden="false" customHeight="true" outlineLevel="0" collapsed="false">
      <c r="A25" s="9" t="s">
        <v>79</v>
      </c>
      <c r="B25" s="10" t="s">
        <v>27</v>
      </c>
      <c r="C25" s="10" t="s">
        <v>69</v>
      </c>
      <c r="D25" s="10" t="s">
        <v>80</v>
      </c>
      <c r="E25" s="11"/>
      <c r="F25" s="12"/>
      <c r="G25" s="11"/>
    </row>
    <row r="26" customFormat="false" ht="30" hidden="false" customHeight="true" outlineLevel="0" collapsed="false">
      <c r="A26" s="9" t="s">
        <v>81</v>
      </c>
      <c r="B26" s="10" t="s">
        <v>27</v>
      </c>
      <c r="C26" s="10" t="s">
        <v>69</v>
      </c>
      <c r="D26" s="10" t="s">
        <v>82</v>
      </c>
      <c r="E26" s="11"/>
      <c r="F26" s="12"/>
      <c r="G26" s="11"/>
    </row>
    <row r="27" customFormat="false" ht="30" hidden="false" customHeight="true" outlineLevel="0" collapsed="false">
      <c r="A27" s="9" t="s">
        <v>83</v>
      </c>
      <c r="B27" s="10" t="s">
        <v>27</v>
      </c>
      <c r="C27" s="10" t="s">
        <v>84</v>
      </c>
      <c r="D27" s="10" t="s">
        <v>85</v>
      </c>
      <c r="E27" s="11"/>
      <c r="F27" s="12"/>
      <c r="G27" s="11"/>
    </row>
    <row r="28" customFormat="false" ht="30" hidden="false" customHeight="true" outlineLevel="0" collapsed="false">
      <c r="A28" s="9" t="s">
        <v>86</v>
      </c>
      <c r="B28" s="10" t="s">
        <v>27</v>
      </c>
      <c r="C28" s="10" t="s">
        <v>84</v>
      </c>
      <c r="D28" s="10" t="s">
        <v>87</v>
      </c>
      <c r="E28" s="11"/>
      <c r="F28" s="12"/>
      <c r="G28" s="11"/>
    </row>
    <row r="29" customFormat="false" ht="30" hidden="false" customHeight="true" outlineLevel="0" collapsed="false">
      <c r="A29" s="9" t="s">
        <v>88</v>
      </c>
      <c r="B29" s="10" t="s">
        <v>27</v>
      </c>
      <c r="C29" s="10" t="s">
        <v>84</v>
      </c>
      <c r="D29" s="10" t="s">
        <v>89</v>
      </c>
      <c r="E29" s="11"/>
      <c r="F29" s="12"/>
      <c r="G29" s="11"/>
    </row>
    <row r="30" customFormat="false" ht="30" hidden="false" customHeight="true" outlineLevel="0" collapsed="false">
      <c r="A30" s="9" t="s">
        <v>90</v>
      </c>
      <c r="B30" s="10" t="s">
        <v>27</v>
      </c>
      <c r="C30" s="10" t="s">
        <v>84</v>
      </c>
      <c r="D30" s="10" t="s">
        <v>91</v>
      </c>
      <c r="E30" s="11"/>
      <c r="F30" s="12"/>
      <c r="G30" s="11"/>
    </row>
    <row r="31" customFormat="false" ht="30" hidden="false" customHeight="true" outlineLevel="0" collapsed="false">
      <c r="A31" s="9" t="s">
        <v>92</v>
      </c>
      <c r="B31" s="10" t="s">
        <v>27</v>
      </c>
      <c r="C31" s="10" t="s">
        <v>84</v>
      </c>
      <c r="D31" s="10" t="s">
        <v>93</v>
      </c>
      <c r="E31" s="11"/>
      <c r="F31" s="12"/>
      <c r="G31" s="11"/>
    </row>
    <row r="32" customFormat="false" ht="30" hidden="false" customHeight="true" outlineLevel="0" collapsed="false">
      <c r="A32" s="9" t="s">
        <v>94</v>
      </c>
      <c r="B32" s="10" t="s">
        <v>27</v>
      </c>
      <c r="C32" s="10" t="s">
        <v>84</v>
      </c>
      <c r="D32" s="10" t="s">
        <v>95</v>
      </c>
      <c r="E32" s="11"/>
      <c r="F32" s="12"/>
      <c r="G32" s="11"/>
    </row>
    <row r="33" customFormat="false" ht="30" hidden="false" customHeight="true" outlineLevel="0" collapsed="false">
      <c r="A33" s="9" t="s">
        <v>96</v>
      </c>
      <c r="B33" s="10" t="s">
        <v>27</v>
      </c>
      <c r="C33" s="10" t="s">
        <v>84</v>
      </c>
      <c r="D33" s="10" t="s">
        <v>97</v>
      </c>
      <c r="E33" s="11"/>
      <c r="F33" s="12"/>
      <c r="G33" s="11"/>
    </row>
    <row r="34" customFormat="false" ht="30" hidden="false" customHeight="true" outlineLevel="0" collapsed="false">
      <c r="A34" s="9" t="s">
        <v>98</v>
      </c>
      <c r="B34" s="10" t="s">
        <v>27</v>
      </c>
      <c r="C34" s="10" t="s">
        <v>84</v>
      </c>
      <c r="D34" s="10" t="s">
        <v>99</v>
      </c>
      <c r="E34" s="11"/>
      <c r="F34" s="12"/>
      <c r="G34" s="11"/>
    </row>
    <row r="35" customFormat="false" ht="30" hidden="false" customHeight="true" outlineLevel="0" collapsed="false">
      <c r="A35" s="9" t="s">
        <v>100</v>
      </c>
      <c r="B35" s="10" t="s">
        <v>27</v>
      </c>
      <c r="C35" s="10" t="s">
        <v>101</v>
      </c>
      <c r="D35" s="10" t="s">
        <v>102</v>
      </c>
      <c r="E35" s="11"/>
      <c r="F35" s="12"/>
      <c r="G35" s="11"/>
    </row>
    <row r="36" customFormat="false" ht="30" hidden="false" customHeight="true" outlineLevel="0" collapsed="false">
      <c r="A36" s="9" t="s">
        <v>103</v>
      </c>
      <c r="B36" s="10" t="s">
        <v>27</v>
      </c>
      <c r="C36" s="10" t="s">
        <v>101</v>
      </c>
      <c r="D36" s="10" t="s">
        <v>104</v>
      </c>
      <c r="E36" s="11"/>
      <c r="F36" s="12"/>
      <c r="G36" s="11"/>
    </row>
    <row r="37" customFormat="false" ht="30" hidden="false" customHeight="true" outlineLevel="0" collapsed="false">
      <c r="A37" s="9" t="s">
        <v>105</v>
      </c>
      <c r="B37" s="10" t="s">
        <v>27</v>
      </c>
      <c r="C37" s="10" t="s">
        <v>101</v>
      </c>
      <c r="D37" s="10" t="s">
        <v>106</v>
      </c>
      <c r="E37" s="11"/>
      <c r="F37" s="12"/>
      <c r="G37" s="11"/>
    </row>
    <row r="38" customFormat="false" ht="30" hidden="false" customHeight="true" outlineLevel="0" collapsed="false">
      <c r="A38" s="9" t="s">
        <v>107</v>
      </c>
      <c r="B38" s="10" t="s">
        <v>27</v>
      </c>
      <c r="C38" s="10" t="s">
        <v>101</v>
      </c>
      <c r="D38" s="10" t="s">
        <v>108</v>
      </c>
      <c r="E38" s="11"/>
      <c r="F38" s="12"/>
      <c r="G38" s="11"/>
    </row>
    <row r="39" customFormat="false" ht="30" hidden="false" customHeight="true" outlineLevel="0" collapsed="false">
      <c r="A39" s="9" t="s">
        <v>109</v>
      </c>
      <c r="B39" s="10" t="s">
        <v>27</v>
      </c>
      <c r="C39" s="10" t="s">
        <v>101</v>
      </c>
      <c r="D39" s="10" t="s">
        <v>110</v>
      </c>
      <c r="E39" s="11"/>
      <c r="F39" s="12"/>
      <c r="G39" s="11"/>
    </row>
    <row r="40" customFormat="false" ht="30" hidden="false" customHeight="true" outlineLevel="0" collapsed="false">
      <c r="A40" s="9" t="s">
        <v>111</v>
      </c>
      <c r="B40" s="10" t="s">
        <v>27</v>
      </c>
      <c r="C40" s="10" t="s">
        <v>101</v>
      </c>
      <c r="D40" s="10" t="s">
        <v>112</v>
      </c>
      <c r="E40" s="11"/>
      <c r="F40" s="12"/>
      <c r="G40" s="11"/>
    </row>
    <row r="41" customFormat="false" ht="30" hidden="false" customHeight="true" outlineLevel="0" collapsed="false">
      <c r="A41" s="9" t="s">
        <v>113</v>
      </c>
      <c r="B41" s="10" t="s">
        <v>27</v>
      </c>
      <c r="C41" s="10" t="s">
        <v>101</v>
      </c>
      <c r="D41" s="10" t="s">
        <v>114</v>
      </c>
      <c r="E41" s="11"/>
      <c r="F41" s="12"/>
      <c r="G41" s="11"/>
    </row>
    <row r="42" customFormat="false" ht="30" hidden="false" customHeight="true" outlineLevel="0" collapsed="false">
      <c r="A42" s="9" t="s">
        <v>115</v>
      </c>
      <c r="B42" s="10" t="s">
        <v>27</v>
      </c>
      <c r="C42" s="10" t="s">
        <v>101</v>
      </c>
      <c r="D42" s="10" t="s">
        <v>116</v>
      </c>
      <c r="E42" s="11"/>
      <c r="F42" s="12"/>
      <c r="G42" s="11"/>
    </row>
    <row r="43" customFormat="false" ht="30" hidden="false" customHeight="true" outlineLevel="0" collapsed="false">
      <c r="A43" s="9" t="s">
        <v>117</v>
      </c>
      <c r="B43" s="10" t="s">
        <v>27</v>
      </c>
      <c r="C43" s="10" t="s">
        <v>101</v>
      </c>
      <c r="D43" s="10" t="s">
        <v>118</v>
      </c>
      <c r="E43" s="11"/>
      <c r="F43" s="12"/>
      <c r="G43" s="11"/>
    </row>
    <row r="44" customFormat="false" ht="30" hidden="false" customHeight="true" outlineLevel="0" collapsed="false">
      <c r="A44" s="9" t="s">
        <v>119</v>
      </c>
      <c r="B44" s="10" t="s">
        <v>27</v>
      </c>
      <c r="C44" s="10" t="s">
        <v>120</v>
      </c>
      <c r="D44" s="10" t="s">
        <v>121</v>
      </c>
      <c r="E44" s="11"/>
      <c r="F44" s="12"/>
      <c r="G44" s="11"/>
    </row>
    <row r="45" customFormat="false" ht="30" hidden="false" customHeight="true" outlineLevel="0" collapsed="false">
      <c r="A45" s="9" t="s">
        <v>122</v>
      </c>
      <c r="B45" s="10" t="s">
        <v>27</v>
      </c>
      <c r="C45" s="10" t="s">
        <v>120</v>
      </c>
      <c r="D45" s="10" t="s">
        <v>123</v>
      </c>
      <c r="E45" s="11"/>
      <c r="F45" s="12"/>
      <c r="G45" s="11"/>
    </row>
    <row r="46" customFormat="false" ht="30" hidden="false" customHeight="true" outlineLevel="0" collapsed="false">
      <c r="A46" s="9" t="s">
        <v>124</v>
      </c>
      <c r="B46" s="10" t="s">
        <v>27</v>
      </c>
      <c r="C46" s="10" t="s">
        <v>120</v>
      </c>
      <c r="D46" s="10" t="s">
        <v>125</v>
      </c>
      <c r="E46" s="11"/>
      <c r="F46" s="12"/>
      <c r="G46" s="11"/>
    </row>
    <row r="47" customFormat="false" ht="30" hidden="false" customHeight="true" outlineLevel="0" collapsed="false">
      <c r="A47" s="9" t="s">
        <v>126</v>
      </c>
      <c r="B47" s="10" t="s">
        <v>27</v>
      </c>
      <c r="C47" s="10" t="s">
        <v>120</v>
      </c>
      <c r="D47" s="10" t="s">
        <v>127</v>
      </c>
      <c r="E47" s="11"/>
      <c r="F47" s="12"/>
      <c r="G47" s="11"/>
    </row>
    <row r="48" customFormat="false" ht="30" hidden="false" customHeight="true" outlineLevel="0" collapsed="false">
      <c r="A48" s="9" t="s">
        <v>128</v>
      </c>
      <c r="B48" s="10" t="s">
        <v>27</v>
      </c>
      <c r="C48" s="10" t="s">
        <v>120</v>
      </c>
      <c r="D48" s="10" t="s">
        <v>129</v>
      </c>
      <c r="E48" s="11"/>
      <c r="F48" s="12"/>
      <c r="G48" s="11"/>
    </row>
    <row r="49" customFormat="false" ht="30" hidden="false" customHeight="true" outlineLevel="0" collapsed="false">
      <c r="A49" s="9" t="s">
        <v>130</v>
      </c>
      <c r="B49" s="10" t="s">
        <v>27</v>
      </c>
      <c r="C49" s="10" t="s">
        <v>120</v>
      </c>
      <c r="D49" s="10" t="s">
        <v>131</v>
      </c>
      <c r="E49" s="11"/>
      <c r="F49" s="12"/>
      <c r="G49" s="11"/>
    </row>
    <row r="50" customFormat="false" ht="30" hidden="false" customHeight="true" outlineLevel="0" collapsed="false">
      <c r="A50" s="9" t="s">
        <v>132</v>
      </c>
      <c r="B50" s="10" t="s">
        <v>27</v>
      </c>
      <c r="C50" s="10" t="s">
        <v>120</v>
      </c>
      <c r="D50" s="10" t="s">
        <v>133</v>
      </c>
      <c r="E50" s="11"/>
      <c r="F50" s="12"/>
      <c r="G50" s="11"/>
    </row>
    <row r="51" customFormat="false" ht="30" hidden="false" customHeight="true" outlineLevel="0" collapsed="false">
      <c r="A51" s="9" t="s">
        <v>134</v>
      </c>
      <c r="B51" s="10" t="s">
        <v>27</v>
      </c>
      <c r="C51" s="10" t="s">
        <v>120</v>
      </c>
      <c r="D51" s="10" t="s">
        <v>135</v>
      </c>
      <c r="E51" s="11"/>
      <c r="F51" s="12"/>
      <c r="G51" s="11"/>
    </row>
    <row r="52" customFormat="false" ht="30" hidden="false" customHeight="true" outlineLevel="0" collapsed="false">
      <c r="A52" s="9" t="s">
        <v>136</v>
      </c>
      <c r="B52" s="10" t="s">
        <v>27</v>
      </c>
      <c r="C52" s="10" t="s">
        <v>120</v>
      </c>
      <c r="D52" s="10" t="s">
        <v>137</v>
      </c>
      <c r="E52" s="11"/>
      <c r="F52" s="12"/>
      <c r="G52" s="11"/>
    </row>
    <row r="53" customFormat="false" ht="30" hidden="false" customHeight="true" outlineLevel="0" collapsed="false">
      <c r="A53" s="9" t="s">
        <v>138</v>
      </c>
      <c r="B53" s="10" t="s">
        <v>27</v>
      </c>
      <c r="C53" s="10" t="s">
        <v>120</v>
      </c>
      <c r="D53" s="10" t="s">
        <v>139</v>
      </c>
      <c r="E53" s="11"/>
      <c r="F53" s="12"/>
      <c r="G53" s="11"/>
    </row>
    <row r="54" customFormat="false" ht="30" hidden="false" customHeight="true" outlineLevel="0" collapsed="false">
      <c r="A54" s="9" t="s">
        <v>140</v>
      </c>
      <c r="B54" s="10" t="s">
        <v>27</v>
      </c>
      <c r="C54" s="10" t="s">
        <v>120</v>
      </c>
      <c r="D54" s="10" t="s">
        <v>141</v>
      </c>
      <c r="E54" s="11"/>
      <c r="F54" s="12"/>
      <c r="G54" s="11"/>
    </row>
    <row r="55" customFormat="false" ht="30" hidden="false" customHeight="true" outlineLevel="0" collapsed="false">
      <c r="A55" s="9" t="s">
        <v>142</v>
      </c>
      <c r="B55" s="10" t="s">
        <v>27</v>
      </c>
      <c r="C55" s="10" t="s">
        <v>120</v>
      </c>
      <c r="D55" s="10" t="s">
        <v>143</v>
      </c>
      <c r="E55" s="11"/>
      <c r="F55" s="12"/>
      <c r="G55" s="11"/>
    </row>
    <row r="56" customFormat="false" ht="30" hidden="false" customHeight="true" outlineLevel="0" collapsed="false">
      <c r="A56" s="9" t="s">
        <v>144</v>
      </c>
      <c r="B56" s="10" t="s">
        <v>27</v>
      </c>
      <c r="C56" s="10" t="s">
        <v>120</v>
      </c>
      <c r="D56" s="10" t="s">
        <v>145</v>
      </c>
      <c r="E56" s="11"/>
      <c r="F56" s="12"/>
      <c r="G56" s="11"/>
    </row>
    <row r="57" customFormat="false" ht="30" hidden="false" customHeight="true" outlineLevel="0" collapsed="false">
      <c r="A57" s="9" t="s">
        <v>146</v>
      </c>
      <c r="B57" s="10" t="s">
        <v>27</v>
      </c>
      <c r="C57" s="10" t="s">
        <v>120</v>
      </c>
      <c r="D57" s="10" t="s">
        <v>147</v>
      </c>
      <c r="E57" s="11"/>
      <c r="F57" s="12"/>
      <c r="G57" s="11"/>
    </row>
    <row r="58" customFormat="false" ht="30" hidden="false" customHeight="true" outlineLevel="0" collapsed="false">
      <c r="A58" s="9" t="s">
        <v>148</v>
      </c>
      <c r="B58" s="10" t="s">
        <v>27</v>
      </c>
      <c r="C58" s="10" t="s">
        <v>120</v>
      </c>
      <c r="D58" s="10" t="s">
        <v>149</v>
      </c>
      <c r="E58" s="11"/>
      <c r="F58" s="12"/>
      <c r="G58" s="11"/>
    </row>
    <row r="59" customFormat="false" ht="30" hidden="false" customHeight="true" outlineLevel="0" collapsed="false">
      <c r="A59" s="9" t="s">
        <v>150</v>
      </c>
      <c r="B59" s="10" t="s">
        <v>151</v>
      </c>
      <c r="C59" s="10"/>
      <c r="D59" s="10" t="s">
        <v>152</v>
      </c>
      <c r="E59" s="11"/>
      <c r="F59" s="12"/>
      <c r="G59" s="11"/>
    </row>
    <row r="60" customFormat="false" ht="30" hidden="false" customHeight="true" outlineLevel="0" collapsed="false">
      <c r="A60" s="9" t="s">
        <v>153</v>
      </c>
      <c r="B60" s="10" t="s">
        <v>151</v>
      </c>
      <c r="C60" s="10"/>
      <c r="D60" s="10" t="s">
        <v>154</v>
      </c>
      <c r="E60" s="11"/>
      <c r="F60" s="12"/>
      <c r="G60" s="11"/>
    </row>
    <row r="61" customFormat="false" ht="30" hidden="false" customHeight="true" outlineLevel="0" collapsed="false">
      <c r="A61" s="9" t="s">
        <v>155</v>
      </c>
      <c r="B61" s="10" t="s">
        <v>151</v>
      </c>
      <c r="C61" s="10"/>
      <c r="D61" s="10" t="s">
        <v>156</v>
      </c>
      <c r="E61" s="11"/>
      <c r="F61" s="12"/>
      <c r="G61" s="11"/>
    </row>
    <row r="62" customFormat="false" ht="30" hidden="false" customHeight="true" outlineLevel="0" collapsed="false">
      <c r="A62" s="9" t="s">
        <v>157</v>
      </c>
      <c r="B62" s="10" t="s">
        <v>151</v>
      </c>
      <c r="C62" s="10"/>
      <c r="D62" s="10" t="s">
        <v>158</v>
      </c>
      <c r="E62" s="11"/>
      <c r="F62" s="12"/>
      <c r="G62" s="11"/>
    </row>
    <row r="63" customFormat="false" ht="30" hidden="false" customHeight="true" outlineLevel="0" collapsed="false">
      <c r="A63" s="9" t="s">
        <v>159</v>
      </c>
      <c r="B63" s="10" t="s">
        <v>151</v>
      </c>
      <c r="C63" s="10"/>
      <c r="D63" s="10" t="s">
        <v>160</v>
      </c>
      <c r="E63" s="11"/>
      <c r="F63" s="12"/>
      <c r="G63" s="11"/>
    </row>
    <row r="64" customFormat="false" ht="30" hidden="false" customHeight="true" outlineLevel="0" collapsed="false">
      <c r="A64" s="9" t="s">
        <v>161</v>
      </c>
      <c r="B64" s="10" t="s">
        <v>151</v>
      </c>
      <c r="C64" s="10"/>
      <c r="D64" s="10" t="s">
        <v>162</v>
      </c>
      <c r="E64" s="11"/>
      <c r="F64" s="12"/>
      <c r="G64" s="11"/>
    </row>
    <row r="65" customFormat="false" ht="30" hidden="false" customHeight="true" outlineLevel="0" collapsed="false">
      <c r="A65" s="9" t="s">
        <v>163</v>
      </c>
      <c r="B65" s="10" t="s">
        <v>151</v>
      </c>
      <c r="C65" s="10"/>
      <c r="D65" s="10" t="s">
        <v>164</v>
      </c>
      <c r="E65" s="11"/>
      <c r="F65" s="12"/>
      <c r="G65" s="11"/>
    </row>
    <row r="66" customFormat="false" ht="30" hidden="false" customHeight="true" outlineLevel="0" collapsed="false">
      <c r="A66" s="9" t="s">
        <v>165</v>
      </c>
      <c r="B66" s="10" t="s">
        <v>151</v>
      </c>
      <c r="C66" s="10"/>
      <c r="D66" s="10" t="s">
        <v>166</v>
      </c>
      <c r="E66" s="11"/>
      <c r="F66" s="12"/>
      <c r="G66" s="11"/>
    </row>
    <row r="67" customFormat="false" ht="30" hidden="false" customHeight="true" outlineLevel="0" collapsed="false">
      <c r="A67" s="9" t="s">
        <v>167</v>
      </c>
      <c r="B67" s="10" t="s">
        <v>151</v>
      </c>
      <c r="C67" s="10"/>
      <c r="D67" s="10" t="s">
        <v>168</v>
      </c>
      <c r="E67" s="11"/>
      <c r="F67" s="12"/>
      <c r="G67" s="11"/>
    </row>
    <row r="68" customFormat="false" ht="30" hidden="false" customHeight="true" outlineLevel="0" collapsed="false">
      <c r="A68" s="9" t="s">
        <v>169</v>
      </c>
      <c r="B68" s="10" t="s">
        <v>151</v>
      </c>
      <c r="C68" s="10"/>
      <c r="D68" s="10" t="s">
        <v>170</v>
      </c>
      <c r="E68" s="11"/>
      <c r="F68" s="12"/>
      <c r="G68" s="11"/>
    </row>
    <row r="69" customFormat="false" ht="30" hidden="false" customHeight="true" outlineLevel="0" collapsed="false">
      <c r="A69" s="9" t="s">
        <v>171</v>
      </c>
      <c r="B69" s="10" t="s">
        <v>151</v>
      </c>
      <c r="C69" s="10"/>
      <c r="D69" s="10" t="s">
        <v>172</v>
      </c>
      <c r="E69" s="11"/>
      <c r="F69" s="12"/>
      <c r="G69" s="11"/>
    </row>
    <row r="70" customFormat="false" ht="30" hidden="false" customHeight="true" outlineLevel="0" collapsed="false">
      <c r="A70" s="9" t="s">
        <v>173</v>
      </c>
      <c r="B70" s="10" t="s">
        <v>151</v>
      </c>
      <c r="C70" s="10"/>
      <c r="D70" s="10" t="s">
        <v>174</v>
      </c>
      <c r="E70" s="11"/>
      <c r="F70" s="12"/>
      <c r="G70" s="11"/>
    </row>
    <row r="71" customFormat="false" ht="30" hidden="false" customHeight="true" outlineLevel="0" collapsed="false">
      <c r="A71" s="9" t="s">
        <v>175</v>
      </c>
      <c r="B71" s="10" t="s">
        <v>151</v>
      </c>
      <c r="C71" s="10"/>
      <c r="D71" s="10" t="s">
        <v>176</v>
      </c>
      <c r="E71" s="11"/>
      <c r="F71" s="12"/>
      <c r="G71" s="11"/>
    </row>
    <row r="72" customFormat="false" ht="30" hidden="false" customHeight="true" outlineLevel="0" collapsed="false">
      <c r="A72" s="9" t="s">
        <v>177</v>
      </c>
      <c r="B72" s="10" t="s">
        <v>151</v>
      </c>
      <c r="C72" s="10"/>
      <c r="D72" s="10" t="s">
        <v>178</v>
      </c>
      <c r="E72" s="11"/>
      <c r="F72" s="12"/>
      <c r="G72" s="11"/>
    </row>
    <row r="73" customFormat="false" ht="30" hidden="false" customHeight="true" outlineLevel="0" collapsed="false">
      <c r="A73" s="9" t="s">
        <v>179</v>
      </c>
      <c r="B73" s="10" t="s">
        <v>151</v>
      </c>
      <c r="C73" s="10"/>
      <c r="D73" s="10" t="s">
        <v>180</v>
      </c>
      <c r="E73" s="11"/>
      <c r="F73" s="12"/>
      <c r="G73" s="11"/>
    </row>
    <row r="74" customFormat="false" ht="30" hidden="false" customHeight="true" outlineLevel="0" collapsed="false">
      <c r="A74" s="9" t="s">
        <v>181</v>
      </c>
      <c r="B74" s="10" t="s">
        <v>151</v>
      </c>
      <c r="C74" s="10"/>
      <c r="D74" s="10" t="s">
        <v>182</v>
      </c>
      <c r="E74" s="11"/>
      <c r="F74" s="12"/>
      <c r="G74" s="11"/>
    </row>
    <row r="75" customFormat="false" ht="30" hidden="false" customHeight="true" outlineLevel="0" collapsed="false">
      <c r="A75" s="9" t="s">
        <v>183</v>
      </c>
      <c r="B75" s="10" t="s">
        <v>151</v>
      </c>
      <c r="C75" s="10"/>
      <c r="D75" s="10" t="s">
        <v>184</v>
      </c>
      <c r="E75" s="11"/>
      <c r="F75" s="12"/>
      <c r="G75" s="11"/>
    </row>
    <row r="76" customFormat="false" ht="30" hidden="false" customHeight="true" outlineLevel="0" collapsed="false">
      <c r="A76" s="9" t="s">
        <v>185</v>
      </c>
      <c r="B76" s="10" t="s">
        <v>151</v>
      </c>
      <c r="C76" s="10"/>
      <c r="D76" s="10" t="s">
        <v>186</v>
      </c>
      <c r="E76" s="11"/>
      <c r="F76" s="12"/>
      <c r="G76" s="11"/>
    </row>
    <row r="77" customFormat="false" ht="30" hidden="false" customHeight="true" outlineLevel="0" collapsed="false">
      <c r="A77" s="9" t="s">
        <v>187</v>
      </c>
      <c r="B77" s="10" t="s">
        <v>151</v>
      </c>
      <c r="C77" s="10"/>
      <c r="D77" s="10" t="s">
        <v>188</v>
      </c>
      <c r="E77" s="11"/>
      <c r="F77" s="12"/>
      <c r="G77" s="11"/>
    </row>
    <row r="78" customFormat="false" ht="30" hidden="false" customHeight="true" outlineLevel="0" collapsed="false">
      <c r="A78" s="9" t="s">
        <v>189</v>
      </c>
      <c r="B78" s="10" t="s">
        <v>151</v>
      </c>
      <c r="C78" s="10"/>
      <c r="D78" s="10" t="s">
        <v>190</v>
      </c>
      <c r="E78" s="11"/>
      <c r="F78" s="12"/>
      <c r="G78" s="11"/>
    </row>
    <row r="79" customFormat="false" ht="30" hidden="false" customHeight="true" outlineLevel="0" collapsed="false">
      <c r="A79" s="9" t="s">
        <v>191</v>
      </c>
      <c r="B79" s="10" t="s">
        <v>192</v>
      </c>
      <c r="C79" s="10"/>
      <c r="D79" s="10" t="s">
        <v>193</v>
      </c>
      <c r="E79" s="11"/>
      <c r="F79" s="12"/>
      <c r="G79" s="11"/>
    </row>
    <row r="80" customFormat="false" ht="30" hidden="false" customHeight="true" outlineLevel="0" collapsed="false">
      <c r="A80" s="9" t="s">
        <v>194</v>
      </c>
      <c r="B80" s="10" t="s">
        <v>192</v>
      </c>
      <c r="C80" s="10"/>
      <c r="D80" s="10" t="s">
        <v>195</v>
      </c>
      <c r="E80" s="11"/>
      <c r="F80" s="12"/>
      <c r="G80" s="11"/>
    </row>
    <row r="81" customFormat="false" ht="30" hidden="false" customHeight="true" outlineLevel="0" collapsed="false">
      <c r="A81" s="9" t="s">
        <v>196</v>
      </c>
      <c r="B81" s="10" t="s">
        <v>192</v>
      </c>
      <c r="C81" s="10"/>
      <c r="D81" s="10" t="s">
        <v>197</v>
      </c>
      <c r="E81" s="11"/>
      <c r="F81" s="12"/>
      <c r="G81" s="11"/>
    </row>
    <row r="82" customFormat="false" ht="30" hidden="false" customHeight="true" outlineLevel="0" collapsed="false">
      <c r="A82" s="9" t="s">
        <v>198</v>
      </c>
      <c r="B82" s="10" t="s">
        <v>192</v>
      </c>
      <c r="C82" s="10"/>
      <c r="D82" s="10" t="s">
        <v>199</v>
      </c>
      <c r="E82" s="11"/>
      <c r="F82" s="12"/>
      <c r="G82" s="11"/>
    </row>
    <row r="83" customFormat="false" ht="30" hidden="false" customHeight="true" outlineLevel="0" collapsed="false">
      <c r="A83" s="9" t="s">
        <v>200</v>
      </c>
      <c r="B83" s="10" t="s">
        <v>192</v>
      </c>
      <c r="C83" s="10"/>
      <c r="D83" s="10" t="s">
        <v>201</v>
      </c>
      <c r="E83" s="11"/>
      <c r="F83" s="12"/>
      <c r="G83" s="11"/>
    </row>
    <row r="84" customFormat="false" ht="30" hidden="false" customHeight="true" outlineLevel="0" collapsed="false">
      <c r="A84" s="9" t="s">
        <v>202</v>
      </c>
      <c r="B84" s="10" t="s">
        <v>192</v>
      </c>
      <c r="C84" s="10"/>
      <c r="D84" s="10" t="s">
        <v>203</v>
      </c>
      <c r="E84" s="11"/>
      <c r="F84" s="12"/>
      <c r="G84" s="11"/>
    </row>
    <row r="85" customFormat="false" ht="30" hidden="false" customHeight="true" outlineLevel="0" collapsed="false">
      <c r="A85" s="9" t="s">
        <v>204</v>
      </c>
      <c r="B85" s="10" t="s">
        <v>192</v>
      </c>
      <c r="C85" s="10"/>
      <c r="D85" s="10" t="s">
        <v>205</v>
      </c>
      <c r="E85" s="11"/>
      <c r="F85" s="12"/>
      <c r="G85" s="11"/>
    </row>
    <row r="86" customFormat="false" ht="30" hidden="false" customHeight="true" outlineLevel="0" collapsed="false">
      <c r="A86" s="9" t="s">
        <v>206</v>
      </c>
      <c r="B86" s="10" t="s">
        <v>192</v>
      </c>
      <c r="C86" s="10"/>
      <c r="D86" s="10" t="s">
        <v>207</v>
      </c>
      <c r="E86" s="11"/>
      <c r="F86" s="12"/>
      <c r="G86" s="11"/>
    </row>
    <row r="87" customFormat="false" ht="30" hidden="false" customHeight="true" outlineLevel="0" collapsed="false">
      <c r="A87" s="9" t="s">
        <v>208</v>
      </c>
      <c r="B87" s="10" t="s">
        <v>192</v>
      </c>
      <c r="C87" s="10"/>
      <c r="D87" s="10" t="s">
        <v>209</v>
      </c>
      <c r="E87" s="11"/>
      <c r="F87" s="12"/>
      <c r="G87" s="11"/>
    </row>
    <row r="88" customFormat="false" ht="30" hidden="false" customHeight="true" outlineLevel="0" collapsed="false">
      <c r="A88" s="9" t="s">
        <v>210</v>
      </c>
      <c r="B88" s="10" t="s">
        <v>192</v>
      </c>
      <c r="C88" s="10"/>
      <c r="D88" s="10" t="s">
        <v>211</v>
      </c>
      <c r="E88" s="11"/>
      <c r="F88" s="12"/>
      <c r="G88" s="11"/>
    </row>
    <row r="89" customFormat="false" ht="30" hidden="false" customHeight="true" outlineLevel="0" collapsed="false">
      <c r="A89" s="9" t="s">
        <v>212</v>
      </c>
      <c r="B89" s="10" t="s">
        <v>192</v>
      </c>
      <c r="C89" s="10"/>
      <c r="D89" s="10" t="s">
        <v>213</v>
      </c>
      <c r="E89" s="11"/>
      <c r="F89" s="12"/>
      <c r="G89" s="11"/>
    </row>
    <row r="90" customFormat="false" ht="30" hidden="false" customHeight="true" outlineLevel="0" collapsed="false">
      <c r="A90" s="9" t="s">
        <v>214</v>
      </c>
      <c r="B90" s="10" t="s">
        <v>192</v>
      </c>
      <c r="C90" s="10"/>
      <c r="D90" s="10" t="s">
        <v>215</v>
      </c>
      <c r="E90" s="11"/>
      <c r="F90" s="12"/>
      <c r="G90" s="11"/>
    </row>
    <row r="91" customFormat="false" ht="30" hidden="false" customHeight="true" outlineLevel="0" collapsed="false">
      <c r="A91" s="9" t="s">
        <v>216</v>
      </c>
      <c r="B91" s="10" t="s">
        <v>192</v>
      </c>
      <c r="C91" s="10"/>
      <c r="D91" s="10" t="s">
        <v>217</v>
      </c>
      <c r="E91" s="11"/>
      <c r="F91" s="12"/>
      <c r="G91" s="11"/>
    </row>
    <row r="92" customFormat="false" ht="30" hidden="false" customHeight="true" outlineLevel="0" collapsed="false">
      <c r="A92" s="9" t="s">
        <v>218</v>
      </c>
      <c r="B92" s="10" t="s">
        <v>192</v>
      </c>
      <c r="C92" s="10"/>
      <c r="D92" s="10" t="s">
        <v>219</v>
      </c>
      <c r="E92" s="11"/>
      <c r="F92" s="12"/>
      <c r="G92" s="11"/>
    </row>
    <row r="93" customFormat="false" ht="30" hidden="false" customHeight="true" outlineLevel="0" collapsed="false">
      <c r="A93" s="9" t="s">
        <v>220</v>
      </c>
      <c r="B93" s="10" t="s">
        <v>192</v>
      </c>
      <c r="C93" s="10"/>
      <c r="D93" s="10" t="s">
        <v>221</v>
      </c>
      <c r="E93" s="11"/>
      <c r="F93" s="12"/>
      <c r="G93" s="11"/>
    </row>
    <row r="94" customFormat="false" ht="30" hidden="false" customHeight="true" outlineLevel="0" collapsed="false">
      <c r="A94" s="9" t="s">
        <v>222</v>
      </c>
      <c r="B94" s="10" t="s">
        <v>192</v>
      </c>
      <c r="C94" s="10"/>
      <c r="D94" s="10" t="s">
        <v>223</v>
      </c>
      <c r="E94" s="11"/>
      <c r="F94" s="12"/>
      <c r="G94" s="11"/>
    </row>
    <row r="95" customFormat="false" ht="30" hidden="false" customHeight="true" outlineLevel="0" collapsed="false">
      <c r="A95" s="9" t="s">
        <v>224</v>
      </c>
      <c r="B95" s="10" t="s">
        <v>192</v>
      </c>
      <c r="C95" s="10"/>
      <c r="D95" s="10" t="s">
        <v>225</v>
      </c>
      <c r="E95" s="11"/>
      <c r="F95" s="12"/>
      <c r="G95" s="11"/>
    </row>
    <row r="96" customFormat="false" ht="30" hidden="false" customHeight="true" outlineLevel="0" collapsed="false">
      <c r="A96" s="9" t="s">
        <v>226</v>
      </c>
      <c r="B96" s="10" t="s">
        <v>192</v>
      </c>
      <c r="C96" s="10"/>
      <c r="D96" s="10" t="s">
        <v>227</v>
      </c>
      <c r="E96" s="11"/>
      <c r="F96" s="12"/>
      <c r="G96" s="11"/>
    </row>
    <row r="97" customFormat="false" ht="30" hidden="false" customHeight="true" outlineLevel="0" collapsed="false">
      <c r="A97" s="9" t="s">
        <v>228</v>
      </c>
      <c r="B97" s="10" t="s">
        <v>192</v>
      </c>
      <c r="C97" s="10"/>
      <c r="D97" s="10" t="s">
        <v>229</v>
      </c>
      <c r="E97" s="11"/>
      <c r="F97" s="12"/>
      <c r="G97" s="11"/>
    </row>
    <row r="98" customFormat="false" ht="30" hidden="false" customHeight="true" outlineLevel="0" collapsed="false">
      <c r="A98" s="9" t="s">
        <v>230</v>
      </c>
      <c r="B98" s="10" t="s">
        <v>192</v>
      </c>
      <c r="C98" s="10"/>
      <c r="D98" s="10" t="s">
        <v>231</v>
      </c>
      <c r="E98" s="11"/>
      <c r="F98" s="12"/>
      <c r="G98" s="11"/>
    </row>
    <row r="99" customFormat="false" ht="30" hidden="false" customHeight="true" outlineLevel="0" collapsed="false">
      <c r="A99" s="9" t="s">
        <v>232</v>
      </c>
      <c r="B99" s="10" t="s">
        <v>192</v>
      </c>
      <c r="C99" s="10"/>
      <c r="D99" s="10" t="s">
        <v>233</v>
      </c>
      <c r="E99" s="11"/>
      <c r="F99" s="12"/>
      <c r="G99" s="11"/>
    </row>
    <row r="100" customFormat="false" ht="30" hidden="false" customHeight="true" outlineLevel="0" collapsed="false">
      <c r="A100" s="9" t="s">
        <v>234</v>
      </c>
      <c r="B100" s="10" t="s">
        <v>235</v>
      </c>
      <c r="C100" s="10" t="s">
        <v>236</v>
      </c>
      <c r="D100" s="10" t="s">
        <v>237</v>
      </c>
      <c r="E100" s="11"/>
      <c r="F100" s="12"/>
      <c r="G100" s="11"/>
    </row>
    <row r="101" customFormat="false" ht="30" hidden="false" customHeight="true" outlineLevel="0" collapsed="false">
      <c r="A101" s="9" t="s">
        <v>238</v>
      </c>
      <c r="B101" s="10" t="s">
        <v>235</v>
      </c>
      <c r="C101" s="10" t="s">
        <v>236</v>
      </c>
      <c r="D101" s="10" t="s">
        <v>239</v>
      </c>
      <c r="E101" s="11"/>
      <c r="F101" s="12"/>
      <c r="G101" s="11"/>
    </row>
    <row r="102" customFormat="false" ht="30" hidden="false" customHeight="true" outlineLevel="0" collapsed="false">
      <c r="A102" s="9" t="s">
        <v>240</v>
      </c>
      <c r="B102" s="10" t="s">
        <v>235</v>
      </c>
      <c r="C102" s="10" t="s">
        <v>236</v>
      </c>
      <c r="D102" s="10" t="s">
        <v>241</v>
      </c>
      <c r="E102" s="11"/>
      <c r="F102" s="12"/>
      <c r="G102" s="11"/>
    </row>
    <row r="103" customFormat="false" ht="30" hidden="false" customHeight="true" outlineLevel="0" collapsed="false">
      <c r="A103" s="9" t="s">
        <v>242</v>
      </c>
      <c r="B103" s="10" t="s">
        <v>235</v>
      </c>
      <c r="C103" s="10" t="s">
        <v>236</v>
      </c>
      <c r="D103" s="10" t="s">
        <v>243</v>
      </c>
      <c r="E103" s="11"/>
      <c r="F103" s="12"/>
      <c r="G103" s="11"/>
    </row>
    <row r="104" customFormat="false" ht="30" hidden="false" customHeight="true" outlineLevel="0" collapsed="false">
      <c r="A104" s="9" t="s">
        <v>244</v>
      </c>
      <c r="B104" s="10" t="s">
        <v>235</v>
      </c>
      <c r="C104" s="10" t="s">
        <v>236</v>
      </c>
      <c r="D104" s="10" t="s">
        <v>245</v>
      </c>
      <c r="E104" s="11"/>
      <c r="F104" s="12"/>
      <c r="G104" s="11"/>
    </row>
    <row r="105" customFormat="false" ht="30" hidden="false" customHeight="true" outlineLevel="0" collapsed="false">
      <c r="A105" s="9" t="s">
        <v>246</v>
      </c>
      <c r="B105" s="10" t="s">
        <v>235</v>
      </c>
      <c r="C105" s="10" t="s">
        <v>236</v>
      </c>
      <c r="D105" s="10" t="s">
        <v>247</v>
      </c>
      <c r="E105" s="11"/>
      <c r="F105" s="12"/>
      <c r="G105" s="11"/>
    </row>
    <row r="106" customFormat="false" ht="30" hidden="false" customHeight="true" outlineLevel="0" collapsed="false">
      <c r="A106" s="9" t="s">
        <v>248</v>
      </c>
      <c r="B106" s="10" t="s">
        <v>235</v>
      </c>
      <c r="C106" s="10" t="s">
        <v>236</v>
      </c>
      <c r="D106" s="10" t="s">
        <v>249</v>
      </c>
      <c r="E106" s="11"/>
      <c r="F106" s="12"/>
      <c r="G106" s="11"/>
    </row>
    <row r="107" customFormat="false" ht="30" hidden="false" customHeight="true" outlineLevel="0" collapsed="false">
      <c r="A107" s="9" t="s">
        <v>250</v>
      </c>
      <c r="B107" s="10" t="s">
        <v>235</v>
      </c>
      <c r="C107" s="10" t="s">
        <v>236</v>
      </c>
      <c r="D107" s="10" t="s">
        <v>251</v>
      </c>
      <c r="E107" s="11"/>
      <c r="F107" s="12"/>
      <c r="G107" s="11"/>
    </row>
    <row r="108" customFormat="false" ht="30" hidden="false" customHeight="true" outlineLevel="0" collapsed="false">
      <c r="A108" s="9" t="s">
        <v>252</v>
      </c>
      <c r="B108" s="10" t="s">
        <v>235</v>
      </c>
      <c r="C108" s="10" t="s">
        <v>236</v>
      </c>
      <c r="D108" s="10" t="s">
        <v>253</v>
      </c>
      <c r="E108" s="11"/>
      <c r="F108" s="12"/>
      <c r="G108" s="11"/>
    </row>
    <row r="109" customFormat="false" ht="30" hidden="false" customHeight="true" outlineLevel="0" collapsed="false">
      <c r="A109" s="9" t="s">
        <v>254</v>
      </c>
      <c r="B109" s="10" t="s">
        <v>235</v>
      </c>
      <c r="C109" s="10" t="s">
        <v>236</v>
      </c>
      <c r="D109" s="10" t="s">
        <v>255</v>
      </c>
      <c r="E109" s="11"/>
      <c r="F109" s="12"/>
      <c r="G109" s="11"/>
    </row>
    <row r="110" customFormat="false" ht="30" hidden="false" customHeight="true" outlineLevel="0" collapsed="false">
      <c r="A110" s="9" t="s">
        <v>256</v>
      </c>
      <c r="B110" s="10" t="s">
        <v>235</v>
      </c>
      <c r="C110" s="10" t="s">
        <v>236</v>
      </c>
      <c r="D110" s="10" t="s">
        <v>257</v>
      </c>
      <c r="E110" s="11"/>
      <c r="F110" s="12"/>
      <c r="G110" s="11"/>
    </row>
    <row r="111" customFormat="false" ht="30" hidden="false" customHeight="true" outlineLevel="0" collapsed="false">
      <c r="A111" s="9" t="s">
        <v>258</v>
      </c>
      <c r="B111" s="10" t="s">
        <v>235</v>
      </c>
      <c r="C111" s="10" t="s">
        <v>236</v>
      </c>
      <c r="D111" s="10" t="s">
        <v>259</v>
      </c>
      <c r="E111" s="11"/>
      <c r="F111" s="12"/>
      <c r="G111" s="11"/>
    </row>
    <row r="112" customFormat="false" ht="30" hidden="false" customHeight="true" outlineLevel="0" collapsed="false">
      <c r="A112" s="9" t="s">
        <v>260</v>
      </c>
      <c r="B112" s="10" t="s">
        <v>235</v>
      </c>
      <c r="C112" s="10" t="s">
        <v>236</v>
      </c>
      <c r="D112" s="10" t="s">
        <v>261</v>
      </c>
      <c r="E112" s="11"/>
      <c r="F112" s="12"/>
      <c r="G112" s="11"/>
    </row>
    <row r="113" customFormat="false" ht="30" hidden="false" customHeight="true" outlineLevel="0" collapsed="false">
      <c r="A113" s="9" t="s">
        <v>262</v>
      </c>
      <c r="B113" s="10" t="s">
        <v>235</v>
      </c>
      <c r="C113" s="10" t="s">
        <v>236</v>
      </c>
      <c r="D113" s="10" t="s">
        <v>263</v>
      </c>
      <c r="E113" s="11"/>
      <c r="F113" s="12"/>
      <c r="G113" s="11"/>
    </row>
    <row r="114" customFormat="false" ht="30" hidden="false" customHeight="true" outlineLevel="0" collapsed="false">
      <c r="A114" s="9" t="s">
        <v>264</v>
      </c>
      <c r="B114" s="10" t="s">
        <v>235</v>
      </c>
      <c r="C114" s="10" t="s">
        <v>236</v>
      </c>
      <c r="D114" s="10" t="s">
        <v>265</v>
      </c>
      <c r="E114" s="11"/>
      <c r="F114" s="12"/>
      <c r="G114" s="11"/>
    </row>
    <row r="115" customFormat="false" ht="30" hidden="false" customHeight="true" outlineLevel="0" collapsed="false">
      <c r="A115" s="9" t="s">
        <v>266</v>
      </c>
      <c r="B115" s="10" t="s">
        <v>235</v>
      </c>
      <c r="C115" s="10" t="s">
        <v>236</v>
      </c>
      <c r="D115" s="10" t="s">
        <v>267</v>
      </c>
      <c r="E115" s="11"/>
      <c r="F115" s="12"/>
      <c r="G115" s="11"/>
    </row>
    <row r="116" customFormat="false" ht="30" hidden="false" customHeight="true" outlineLevel="0" collapsed="false">
      <c r="A116" s="9" t="s">
        <v>268</v>
      </c>
      <c r="B116" s="10" t="s">
        <v>235</v>
      </c>
      <c r="C116" s="10" t="s">
        <v>236</v>
      </c>
      <c r="D116" s="10" t="s">
        <v>269</v>
      </c>
      <c r="E116" s="11"/>
      <c r="F116" s="12"/>
      <c r="G116" s="11"/>
    </row>
    <row r="117" customFormat="false" ht="30" hidden="false" customHeight="true" outlineLevel="0" collapsed="false">
      <c r="A117" s="9" t="s">
        <v>270</v>
      </c>
      <c r="B117" s="10" t="s">
        <v>235</v>
      </c>
      <c r="C117" s="10" t="s">
        <v>236</v>
      </c>
      <c r="D117" s="10" t="s">
        <v>271</v>
      </c>
      <c r="E117" s="11"/>
      <c r="F117" s="12"/>
      <c r="G117" s="11"/>
    </row>
    <row r="118" customFormat="false" ht="30" hidden="false" customHeight="true" outlineLevel="0" collapsed="false">
      <c r="A118" s="13" t="s">
        <v>272</v>
      </c>
      <c r="B118" s="14" t="s">
        <v>235</v>
      </c>
      <c r="C118" s="14" t="s">
        <v>273</v>
      </c>
      <c r="D118" s="14" t="s">
        <v>274</v>
      </c>
      <c r="E118" s="11"/>
      <c r="F118" s="12"/>
      <c r="G118" s="11"/>
    </row>
    <row r="119" customFormat="false" ht="30" hidden="false" customHeight="true" outlineLevel="0" collapsed="false">
      <c r="A119" s="13" t="s">
        <v>275</v>
      </c>
      <c r="B119" s="14" t="s">
        <v>235</v>
      </c>
      <c r="C119" s="14" t="s">
        <v>273</v>
      </c>
      <c r="D119" s="14" t="s">
        <v>276</v>
      </c>
      <c r="E119" s="11"/>
      <c r="F119" s="12"/>
      <c r="G119" s="11"/>
    </row>
    <row r="120" customFormat="false" ht="30" hidden="false" customHeight="true" outlineLevel="0" collapsed="false">
      <c r="A120" s="13" t="s">
        <v>277</v>
      </c>
      <c r="B120" s="14" t="s">
        <v>235</v>
      </c>
      <c r="C120" s="14" t="s">
        <v>273</v>
      </c>
      <c r="D120" s="14" t="s">
        <v>278</v>
      </c>
      <c r="E120" s="11"/>
      <c r="F120" s="12"/>
      <c r="G120" s="11"/>
    </row>
    <row r="121" customFormat="false" ht="30" hidden="false" customHeight="true" outlineLevel="0" collapsed="false">
      <c r="A121" s="13" t="s">
        <v>279</v>
      </c>
      <c r="B121" s="14" t="s">
        <v>235</v>
      </c>
      <c r="C121" s="14" t="s">
        <v>273</v>
      </c>
      <c r="D121" s="14" t="s">
        <v>280</v>
      </c>
      <c r="E121" s="11"/>
      <c r="F121" s="12"/>
      <c r="G121" s="11"/>
    </row>
    <row r="122" customFormat="false" ht="30" hidden="false" customHeight="true" outlineLevel="0" collapsed="false">
      <c r="A122" s="13" t="s">
        <v>281</v>
      </c>
      <c r="B122" s="14" t="s">
        <v>235</v>
      </c>
      <c r="C122" s="14" t="s">
        <v>273</v>
      </c>
      <c r="D122" s="14" t="s">
        <v>282</v>
      </c>
      <c r="E122" s="11"/>
      <c r="F122" s="12"/>
      <c r="G122" s="11"/>
    </row>
    <row r="123" customFormat="false" ht="30" hidden="false" customHeight="true" outlineLevel="0" collapsed="false">
      <c r="A123" s="13" t="s">
        <v>283</v>
      </c>
      <c r="B123" s="14" t="s">
        <v>235</v>
      </c>
      <c r="C123" s="14" t="s">
        <v>273</v>
      </c>
      <c r="D123" s="14" t="s">
        <v>284</v>
      </c>
      <c r="E123" s="11"/>
      <c r="F123" s="12"/>
      <c r="G123" s="11"/>
    </row>
    <row r="124" customFormat="false" ht="30" hidden="false" customHeight="true" outlineLevel="0" collapsed="false">
      <c r="A124" s="13" t="s">
        <v>285</v>
      </c>
      <c r="B124" s="14" t="s">
        <v>235</v>
      </c>
      <c r="C124" s="14" t="s">
        <v>273</v>
      </c>
      <c r="D124" s="14" t="s">
        <v>286</v>
      </c>
      <c r="E124" s="11"/>
      <c r="F124" s="12"/>
      <c r="G124" s="11"/>
    </row>
    <row r="125" customFormat="false" ht="30" hidden="false" customHeight="true" outlineLevel="0" collapsed="false">
      <c r="A125" s="13" t="s">
        <v>287</v>
      </c>
      <c r="B125" s="14" t="s">
        <v>235</v>
      </c>
      <c r="C125" s="14" t="s">
        <v>273</v>
      </c>
      <c r="D125" s="14" t="s">
        <v>288</v>
      </c>
      <c r="E125" s="11"/>
      <c r="F125" s="12"/>
      <c r="G125" s="11"/>
    </row>
    <row r="126" customFormat="false" ht="30" hidden="false" customHeight="true" outlineLevel="0" collapsed="false">
      <c r="A126" s="13" t="s">
        <v>289</v>
      </c>
      <c r="B126" s="14" t="s">
        <v>235</v>
      </c>
      <c r="C126" s="14" t="s">
        <v>273</v>
      </c>
      <c r="D126" s="14" t="s">
        <v>290</v>
      </c>
      <c r="E126" s="11"/>
      <c r="F126" s="12"/>
      <c r="G126" s="11"/>
    </row>
    <row r="127" customFormat="false" ht="30" hidden="false" customHeight="true" outlineLevel="0" collapsed="false">
      <c r="A127" s="13" t="s">
        <v>291</v>
      </c>
      <c r="B127" s="14" t="s">
        <v>235</v>
      </c>
      <c r="C127" s="14" t="s">
        <v>273</v>
      </c>
      <c r="D127" s="14" t="s">
        <v>292</v>
      </c>
      <c r="E127" s="11"/>
      <c r="F127" s="12"/>
      <c r="G127" s="11"/>
    </row>
    <row r="128" customFormat="false" ht="30" hidden="false" customHeight="true" outlineLevel="0" collapsed="false">
      <c r="A128" s="13" t="s">
        <v>293</v>
      </c>
      <c r="B128" s="14" t="s">
        <v>235</v>
      </c>
      <c r="C128" s="14" t="s">
        <v>273</v>
      </c>
      <c r="D128" s="14" t="s">
        <v>294</v>
      </c>
      <c r="E128" s="11"/>
      <c r="F128" s="12"/>
      <c r="G128" s="11"/>
    </row>
    <row r="129" customFormat="false" ht="30" hidden="false" customHeight="true" outlineLevel="0" collapsed="false">
      <c r="A129" s="13" t="s">
        <v>295</v>
      </c>
      <c r="B129" s="14" t="s">
        <v>235</v>
      </c>
      <c r="C129" s="14" t="s">
        <v>273</v>
      </c>
      <c r="D129" s="14" t="s">
        <v>296</v>
      </c>
      <c r="E129" s="11"/>
      <c r="F129" s="12"/>
      <c r="G129" s="11"/>
    </row>
    <row r="130" customFormat="false" ht="30" hidden="false" customHeight="true" outlineLevel="0" collapsed="false">
      <c r="A130" s="13" t="s">
        <v>297</v>
      </c>
      <c r="B130" s="14" t="s">
        <v>235</v>
      </c>
      <c r="C130" s="14" t="s">
        <v>273</v>
      </c>
      <c r="D130" s="14" t="s">
        <v>298</v>
      </c>
      <c r="E130" s="11"/>
      <c r="F130" s="12"/>
      <c r="G130" s="11"/>
    </row>
    <row r="131" customFormat="false" ht="30" hidden="false" customHeight="true" outlineLevel="0" collapsed="false">
      <c r="A131" s="13" t="s">
        <v>299</v>
      </c>
      <c r="B131" s="14" t="s">
        <v>235</v>
      </c>
      <c r="C131" s="14" t="s">
        <v>273</v>
      </c>
      <c r="D131" s="14" t="s">
        <v>300</v>
      </c>
      <c r="E131" s="11"/>
      <c r="F131" s="12"/>
      <c r="G131" s="11"/>
    </row>
    <row r="132" customFormat="false" ht="30" hidden="false" customHeight="true" outlineLevel="0" collapsed="false">
      <c r="A132" s="9" t="s">
        <v>301</v>
      </c>
      <c r="B132" s="10" t="s">
        <v>302</v>
      </c>
      <c r="C132" s="10"/>
      <c r="D132" s="10" t="s">
        <v>303</v>
      </c>
      <c r="E132" s="11"/>
      <c r="F132" s="12"/>
      <c r="G132" s="11"/>
    </row>
    <row r="133" customFormat="false" ht="30" hidden="false" customHeight="true" outlineLevel="0" collapsed="false">
      <c r="A133" s="9" t="s">
        <v>304</v>
      </c>
      <c r="B133" s="10" t="s">
        <v>302</v>
      </c>
      <c r="C133" s="10"/>
      <c r="D133" s="10" t="s">
        <v>305</v>
      </c>
      <c r="E133" s="11"/>
      <c r="F133" s="12"/>
      <c r="G133" s="11"/>
    </row>
    <row r="134" customFormat="false" ht="30" hidden="false" customHeight="true" outlineLevel="0" collapsed="false">
      <c r="A134" s="9" t="s">
        <v>306</v>
      </c>
      <c r="B134" s="10" t="s">
        <v>302</v>
      </c>
      <c r="C134" s="10"/>
      <c r="D134" s="10" t="s">
        <v>307</v>
      </c>
      <c r="E134" s="11"/>
      <c r="F134" s="12"/>
      <c r="G134" s="11"/>
    </row>
    <row r="135" customFormat="false" ht="30" hidden="false" customHeight="true" outlineLevel="0" collapsed="false">
      <c r="A135" s="9" t="s">
        <v>308</v>
      </c>
      <c r="B135" s="10" t="s">
        <v>302</v>
      </c>
      <c r="C135" s="10"/>
      <c r="D135" s="10" t="s">
        <v>309</v>
      </c>
      <c r="E135" s="11"/>
      <c r="F135" s="12"/>
      <c r="G135" s="11"/>
    </row>
    <row r="136" customFormat="false" ht="30" hidden="false" customHeight="true" outlineLevel="0" collapsed="false">
      <c r="A136" s="9" t="s">
        <v>310</v>
      </c>
      <c r="B136" s="10" t="s">
        <v>302</v>
      </c>
      <c r="C136" s="10"/>
      <c r="D136" s="10" t="s">
        <v>311</v>
      </c>
      <c r="E136" s="11"/>
      <c r="F136" s="12"/>
      <c r="G136" s="11"/>
    </row>
    <row r="137" customFormat="false" ht="30" hidden="false" customHeight="true" outlineLevel="0" collapsed="false">
      <c r="A137" s="9" t="s">
        <v>312</v>
      </c>
      <c r="B137" s="10" t="s">
        <v>302</v>
      </c>
      <c r="C137" s="10"/>
      <c r="D137" s="10" t="s">
        <v>313</v>
      </c>
      <c r="E137" s="11"/>
      <c r="F137" s="12"/>
      <c r="G137" s="11"/>
    </row>
    <row r="138" customFormat="false" ht="30" hidden="false" customHeight="true" outlineLevel="0" collapsed="false">
      <c r="A138" s="9" t="s">
        <v>314</v>
      </c>
      <c r="B138" s="10" t="s">
        <v>302</v>
      </c>
      <c r="C138" s="10"/>
      <c r="D138" s="10" t="s">
        <v>315</v>
      </c>
      <c r="E138" s="11"/>
      <c r="F138" s="12"/>
      <c r="G138" s="11"/>
    </row>
    <row r="139" customFormat="false" ht="30" hidden="false" customHeight="true" outlineLevel="0" collapsed="false">
      <c r="A139" s="9" t="s">
        <v>316</v>
      </c>
      <c r="B139" s="10" t="s">
        <v>302</v>
      </c>
      <c r="C139" s="10"/>
      <c r="D139" s="10" t="s">
        <v>317</v>
      </c>
      <c r="E139" s="11"/>
      <c r="F139" s="12"/>
      <c r="G139" s="11"/>
    </row>
    <row r="140" customFormat="false" ht="30" hidden="false" customHeight="true" outlineLevel="0" collapsed="false">
      <c r="A140" s="9" t="s">
        <v>318</v>
      </c>
      <c r="B140" s="10" t="s">
        <v>302</v>
      </c>
      <c r="C140" s="10"/>
      <c r="D140" s="10" t="s">
        <v>319</v>
      </c>
      <c r="E140" s="11"/>
      <c r="F140" s="12"/>
      <c r="G140" s="11"/>
    </row>
    <row r="141" customFormat="false" ht="30" hidden="false" customHeight="true" outlineLevel="0" collapsed="false">
      <c r="A141" s="9" t="s">
        <v>320</v>
      </c>
      <c r="B141" s="10" t="s">
        <v>302</v>
      </c>
      <c r="C141" s="10"/>
      <c r="D141" s="10" t="s">
        <v>321</v>
      </c>
      <c r="E141" s="11"/>
      <c r="F141" s="12"/>
      <c r="G141" s="11"/>
    </row>
    <row r="142" customFormat="false" ht="30" hidden="false" customHeight="true" outlineLevel="0" collapsed="false">
      <c r="A142" s="9" t="s">
        <v>322</v>
      </c>
      <c r="B142" s="10" t="s">
        <v>302</v>
      </c>
      <c r="C142" s="10"/>
      <c r="D142" s="10" t="s">
        <v>323</v>
      </c>
      <c r="E142" s="11"/>
      <c r="F142" s="12"/>
      <c r="G142" s="11"/>
    </row>
    <row r="143" customFormat="false" ht="30" hidden="false" customHeight="true" outlineLevel="0" collapsed="false">
      <c r="A143" s="9" t="s">
        <v>324</v>
      </c>
      <c r="B143" s="10" t="s">
        <v>302</v>
      </c>
      <c r="C143" s="10"/>
      <c r="D143" s="10" t="s">
        <v>325</v>
      </c>
      <c r="E143" s="11"/>
      <c r="F143" s="12"/>
      <c r="G143" s="11"/>
    </row>
    <row r="144" customFormat="false" ht="30" hidden="false" customHeight="true" outlineLevel="0" collapsed="false">
      <c r="A144" s="9" t="s">
        <v>326</v>
      </c>
      <c r="B144" s="10" t="s">
        <v>302</v>
      </c>
      <c r="C144" s="10"/>
      <c r="D144" s="10" t="s">
        <v>327</v>
      </c>
      <c r="E144" s="11"/>
      <c r="F144" s="12"/>
      <c r="G144" s="11"/>
    </row>
    <row r="145" customFormat="false" ht="30" hidden="false" customHeight="true" outlineLevel="0" collapsed="false">
      <c r="A145" s="9" t="s">
        <v>328</v>
      </c>
      <c r="B145" s="10" t="s">
        <v>302</v>
      </c>
      <c r="C145" s="10"/>
      <c r="D145" s="10" t="s">
        <v>329</v>
      </c>
      <c r="E145" s="11"/>
      <c r="F145" s="12"/>
      <c r="G145" s="11"/>
    </row>
    <row r="146" customFormat="false" ht="30" hidden="false" customHeight="true" outlineLevel="0" collapsed="false">
      <c r="A146" s="9" t="s">
        <v>330</v>
      </c>
      <c r="B146" s="10" t="s">
        <v>302</v>
      </c>
      <c r="C146" s="10"/>
      <c r="D146" s="10" t="s">
        <v>331</v>
      </c>
      <c r="E146" s="11"/>
      <c r="F146" s="12"/>
      <c r="G146" s="11"/>
    </row>
    <row r="147" customFormat="false" ht="30" hidden="false" customHeight="true" outlineLevel="0" collapsed="false">
      <c r="A147" s="9" t="s">
        <v>332</v>
      </c>
      <c r="B147" s="10" t="s">
        <v>333</v>
      </c>
      <c r="C147" s="10"/>
      <c r="D147" s="10" t="s">
        <v>334</v>
      </c>
      <c r="E147" s="11"/>
      <c r="F147" s="12"/>
      <c r="G147" s="11"/>
    </row>
    <row r="148" customFormat="false" ht="30" hidden="false" customHeight="true" outlineLevel="0" collapsed="false">
      <c r="A148" s="9" t="s">
        <v>335</v>
      </c>
      <c r="B148" s="10" t="s">
        <v>333</v>
      </c>
      <c r="C148" s="10"/>
      <c r="D148" s="10" t="s">
        <v>336</v>
      </c>
      <c r="E148" s="11"/>
      <c r="F148" s="12"/>
      <c r="G148" s="11"/>
    </row>
    <row r="149" customFormat="false" ht="30" hidden="false" customHeight="true" outlineLevel="0" collapsed="false">
      <c r="A149" s="9" t="s">
        <v>337</v>
      </c>
      <c r="B149" s="10" t="s">
        <v>333</v>
      </c>
      <c r="C149" s="10"/>
      <c r="D149" s="10" t="s">
        <v>338</v>
      </c>
      <c r="E149" s="11"/>
      <c r="F149" s="12"/>
      <c r="G149" s="11"/>
    </row>
    <row r="150" customFormat="false" ht="30" hidden="false" customHeight="true" outlineLevel="0" collapsed="false">
      <c r="A150" s="9" t="s">
        <v>339</v>
      </c>
      <c r="B150" s="10" t="s">
        <v>333</v>
      </c>
      <c r="C150" s="10"/>
      <c r="D150" s="10" t="s">
        <v>340</v>
      </c>
      <c r="E150" s="11"/>
      <c r="F150" s="12"/>
      <c r="G150" s="11"/>
    </row>
    <row r="151" customFormat="false" ht="30" hidden="false" customHeight="true" outlineLevel="0" collapsed="false">
      <c r="A151" s="9" t="s">
        <v>341</v>
      </c>
      <c r="B151" s="10" t="s">
        <v>333</v>
      </c>
      <c r="C151" s="10"/>
      <c r="D151" s="10" t="s">
        <v>342</v>
      </c>
      <c r="E151" s="11"/>
      <c r="F151" s="12"/>
      <c r="G151" s="11"/>
    </row>
    <row r="152" customFormat="false" ht="30" hidden="false" customHeight="true" outlineLevel="0" collapsed="false">
      <c r="A152" s="9" t="s">
        <v>343</v>
      </c>
      <c r="B152" s="10" t="s">
        <v>333</v>
      </c>
      <c r="C152" s="10"/>
      <c r="D152" s="10" t="s">
        <v>344</v>
      </c>
      <c r="E152" s="11"/>
      <c r="F152" s="12"/>
      <c r="G152" s="11"/>
    </row>
    <row r="153" customFormat="false" ht="30" hidden="false" customHeight="true" outlineLevel="0" collapsed="false">
      <c r="A153" s="9" t="s">
        <v>345</v>
      </c>
      <c r="B153" s="10" t="s">
        <v>333</v>
      </c>
      <c r="C153" s="10"/>
      <c r="D153" s="10" t="s">
        <v>346</v>
      </c>
      <c r="E153" s="11"/>
      <c r="F153" s="12"/>
      <c r="G153" s="11"/>
    </row>
    <row r="154" customFormat="false" ht="30" hidden="false" customHeight="true" outlineLevel="0" collapsed="false">
      <c r="A154" s="9" t="s">
        <v>347</v>
      </c>
      <c r="B154" s="10" t="s">
        <v>333</v>
      </c>
      <c r="C154" s="10"/>
      <c r="D154" s="10" t="s">
        <v>348</v>
      </c>
      <c r="E154" s="11"/>
      <c r="F154" s="12"/>
      <c r="G154" s="11"/>
    </row>
    <row r="155" customFormat="false" ht="30" hidden="false" customHeight="true" outlineLevel="0" collapsed="false">
      <c r="A155" s="9" t="s">
        <v>349</v>
      </c>
      <c r="B155" s="10" t="s">
        <v>333</v>
      </c>
      <c r="C155" s="10"/>
      <c r="D155" s="10" t="s">
        <v>350</v>
      </c>
      <c r="E155" s="11"/>
      <c r="F155" s="12"/>
      <c r="G155" s="11"/>
    </row>
    <row r="156" customFormat="false" ht="30" hidden="false" customHeight="true" outlineLevel="0" collapsed="false">
      <c r="A156" s="9" t="s">
        <v>351</v>
      </c>
      <c r="B156" s="10" t="s">
        <v>333</v>
      </c>
      <c r="C156" s="10"/>
      <c r="D156" s="10" t="s">
        <v>352</v>
      </c>
      <c r="E156" s="11"/>
      <c r="F156" s="12"/>
      <c r="G156" s="11"/>
    </row>
    <row r="157" customFormat="false" ht="30" hidden="false" customHeight="true" outlineLevel="0" collapsed="false">
      <c r="A157" s="9" t="s">
        <v>353</v>
      </c>
      <c r="B157" s="10" t="s">
        <v>333</v>
      </c>
      <c r="C157" s="10"/>
      <c r="D157" s="10" t="s">
        <v>354</v>
      </c>
      <c r="E157" s="11"/>
      <c r="F157" s="12"/>
      <c r="G157" s="11"/>
    </row>
    <row r="158" customFormat="false" ht="30" hidden="false" customHeight="true" outlineLevel="0" collapsed="false">
      <c r="A158" s="9" t="s">
        <v>355</v>
      </c>
      <c r="B158" s="10" t="s">
        <v>333</v>
      </c>
      <c r="C158" s="10"/>
      <c r="D158" s="10" t="s">
        <v>356</v>
      </c>
      <c r="E158" s="11"/>
      <c r="F158" s="12"/>
      <c r="G158" s="11"/>
    </row>
    <row r="159" customFormat="false" ht="30" hidden="false" customHeight="true" outlineLevel="0" collapsed="false">
      <c r="A159" s="9" t="s">
        <v>357</v>
      </c>
      <c r="B159" s="10" t="s">
        <v>333</v>
      </c>
      <c r="C159" s="10"/>
      <c r="D159" s="10" t="s">
        <v>358</v>
      </c>
      <c r="E159" s="11"/>
      <c r="F159" s="12"/>
      <c r="G159" s="11"/>
    </row>
    <row r="160" customFormat="false" ht="30" hidden="false" customHeight="true" outlineLevel="0" collapsed="false">
      <c r="A160" s="9" t="s">
        <v>359</v>
      </c>
      <c r="B160" s="10" t="s">
        <v>333</v>
      </c>
      <c r="C160" s="10"/>
      <c r="D160" s="10" t="s">
        <v>360</v>
      </c>
      <c r="E160" s="11"/>
      <c r="F160" s="12"/>
      <c r="G160" s="11"/>
    </row>
    <row r="161" customFormat="false" ht="30" hidden="false" customHeight="true" outlineLevel="0" collapsed="false">
      <c r="A161" s="9" t="s">
        <v>361</v>
      </c>
      <c r="B161" s="10" t="s">
        <v>333</v>
      </c>
      <c r="C161" s="10"/>
      <c r="D161" s="10" t="s">
        <v>362</v>
      </c>
      <c r="E161" s="11"/>
      <c r="F161" s="12"/>
      <c r="G161" s="11"/>
    </row>
    <row r="162" customFormat="false" ht="30" hidden="false" customHeight="true" outlineLevel="0" collapsed="false">
      <c r="A162" s="9" t="s">
        <v>363</v>
      </c>
      <c r="B162" s="10" t="s">
        <v>333</v>
      </c>
      <c r="C162" s="10"/>
      <c r="D162" s="10" t="s">
        <v>364</v>
      </c>
      <c r="E162" s="11"/>
      <c r="F162" s="12"/>
      <c r="G162" s="11"/>
    </row>
    <row r="163" customFormat="false" ht="30" hidden="false" customHeight="true" outlineLevel="0" collapsed="false">
      <c r="A163" s="9" t="s">
        <v>365</v>
      </c>
      <c r="B163" s="10" t="s">
        <v>366</v>
      </c>
      <c r="C163" s="10"/>
      <c r="D163" s="10" t="s">
        <v>367</v>
      </c>
      <c r="E163" s="11"/>
      <c r="F163" s="12"/>
      <c r="G163" s="11"/>
    </row>
    <row r="164" customFormat="false" ht="30" hidden="false" customHeight="true" outlineLevel="0" collapsed="false">
      <c r="A164" s="9" t="s">
        <v>368</v>
      </c>
      <c r="B164" s="10" t="s">
        <v>366</v>
      </c>
      <c r="C164" s="10"/>
      <c r="D164" s="10" t="s">
        <v>369</v>
      </c>
      <c r="E164" s="11"/>
      <c r="F164" s="12"/>
      <c r="G164" s="11"/>
    </row>
    <row r="165" customFormat="false" ht="30" hidden="false" customHeight="true" outlineLevel="0" collapsed="false">
      <c r="A165" s="9" t="s">
        <v>370</v>
      </c>
      <c r="B165" s="10" t="s">
        <v>366</v>
      </c>
      <c r="C165" s="10"/>
      <c r="D165" s="10" t="s">
        <v>371</v>
      </c>
      <c r="E165" s="11"/>
      <c r="F165" s="12"/>
      <c r="G165" s="11"/>
    </row>
    <row r="166" customFormat="false" ht="30" hidden="false" customHeight="true" outlineLevel="0" collapsed="false">
      <c r="A166" s="9" t="s">
        <v>372</v>
      </c>
      <c r="B166" s="10" t="s">
        <v>366</v>
      </c>
      <c r="C166" s="10"/>
      <c r="D166" s="10" t="s">
        <v>373</v>
      </c>
      <c r="E166" s="11"/>
      <c r="F166" s="12"/>
      <c r="G166" s="11"/>
    </row>
    <row r="167" customFormat="false" ht="30" hidden="false" customHeight="true" outlineLevel="0" collapsed="false">
      <c r="A167" s="9" t="s">
        <v>374</v>
      </c>
      <c r="B167" s="10" t="s">
        <v>366</v>
      </c>
      <c r="C167" s="10"/>
      <c r="D167" s="10" t="s">
        <v>375</v>
      </c>
      <c r="E167" s="11"/>
      <c r="F167" s="12"/>
      <c r="G167" s="11"/>
    </row>
    <row r="168" customFormat="false" ht="30" hidden="false" customHeight="true" outlineLevel="0" collapsed="false">
      <c r="A168" s="9" t="s">
        <v>376</v>
      </c>
      <c r="B168" s="10" t="s">
        <v>366</v>
      </c>
      <c r="C168" s="10"/>
      <c r="D168" s="10" t="s">
        <v>377</v>
      </c>
      <c r="E168" s="11"/>
      <c r="F168" s="12"/>
      <c r="G168" s="11"/>
    </row>
    <row r="169" customFormat="false" ht="30" hidden="false" customHeight="true" outlineLevel="0" collapsed="false">
      <c r="A169" s="9" t="s">
        <v>378</v>
      </c>
      <c r="B169" s="10" t="s">
        <v>366</v>
      </c>
      <c r="C169" s="10"/>
      <c r="D169" s="10" t="s">
        <v>379</v>
      </c>
      <c r="E169" s="11"/>
      <c r="F169" s="12"/>
      <c r="G169" s="11"/>
    </row>
    <row r="170" customFormat="false" ht="30" hidden="false" customHeight="true" outlineLevel="0" collapsed="false">
      <c r="A170" s="9" t="s">
        <v>380</v>
      </c>
      <c r="B170" s="10" t="s">
        <v>366</v>
      </c>
      <c r="C170" s="10"/>
      <c r="D170" s="10" t="s">
        <v>381</v>
      </c>
      <c r="E170" s="11"/>
      <c r="F170" s="12"/>
      <c r="G170" s="11"/>
    </row>
    <row r="171" customFormat="false" ht="30" hidden="false" customHeight="true" outlineLevel="0" collapsed="false">
      <c r="A171" s="9" t="s">
        <v>382</v>
      </c>
      <c r="B171" s="10" t="s">
        <v>366</v>
      </c>
      <c r="C171" s="10"/>
      <c r="D171" s="10" t="s">
        <v>383</v>
      </c>
      <c r="E171" s="11"/>
      <c r="F171" s="12"/>
      <c r="G171" s="11"/>
    </row>
    <row r="172" customFormat="false" ht="30" hidden="false" customHeight="true" outlineLevel="0" collapsed="false">
      <c r="A172" s="9" t="s">
        <v>384</v>
      </c>
      <c r="B172" s="10" t="s">
        <v>366</v>
      </c>
      <c r="C172" s="10"/>
      <c r="D172" s="10" t="s">
        <v>385</v>
      </c>
      <c r="E172" s="11"/>
      <c r="F172" s="12"/>
      <c r="G172" s="11"/>
    </row>
    <row r="173" customFormat="false" ht="30" hidden="false" customHeight="true" outlineLevel="0" collapsed="false">
      <c r="A173" s="9" t="s">
        <v>386</v>
      </c>
      <c r="B173" s="10" t="s">
        <v>366</v>
      </c>
      <c r="C173" s="10"/>
      <c r="D173" s="10" t="s">
        <v>387</v>
      </c>
      <c r="E173" s="11"/>
      <c r="F173" s="12"/>
      <c r="G173" s="11"/>
    </row>
    <row r="174" customFormat="false" ht="30" hidden="false" customHeight="true" outlineLevel="0" collapsed="false">
      <c r="A174" s="9" t="s">
        <v>388</v>
      </c>
      <c r="B174" s="10" t="s">
        <v>366</v>
      </c>
      <c r="C174" s="10"/>
      <c r="D174" s="10" t="s">
        <v>389</v>
      </c>
      <c r="E174" s="11"/>
      <c r="F174" s="12"/>
      <c r="G174" s="11"/>
    </row>
    <row r="175" customFormat="false" ht="30" hidden="false" customHeight="true" outlineLevel="0" collapsed="false">
      <c r="A175" s="9" t="s">
        <v>390</v>
      </c>
      <c r="B175" s="10" t="s">
        <v>366</v>
      </c>
      <c r="C175" s="10"/>
      <c r="D175" s="10" t="s">
        <v>391</v>
      </c>
      <c r="E175" s="11"/>
      <c r="F175" s="12"/>
      <c r="G175" s="11"/>
    </row>
    <row r="176" customFormat="false" ht="30" hidden="false" customHeight="true" outlineLevel="0" collapsed="false">
      <c r="A176" s="9" t="s">
        <v>392</v>
      </c>
      <c r="B176" s="10" t="s">
        <v>366</v>
      </c>
      <c r="C176" s="10"/>
      <c r="D176" s="10" t="s">
        <v>393</v>
      </c>
      <c r="E176" s="11"/>
      <c r="F176" s="12"/>
      <c r="G176" s="11"/>
    </row>
    <row r="177" customFormat="false" ht="30" hidden="false" customHeight="true" outlineLevel="0" collapsed="false">
      <c r="A177" s="9" t="s">
        <v>394</v>
      </c>
      <c r="B177" s="10" t="s">
        <v>366</v>
      </c>
      <c r="C177" s="10"/>
      <c r="D177" s="10" t="s">
        <v>395</v>
      </c>
      <c r="E177" s="11"/>
      <c r="F177" s="12"/>
      <c r="G177" s="11"/>
    </row>
    <row r="178" customFormat="false" ht="30" hidden="false" customHeight="true" outlineLevel="0" collapsed="false">
      <c r="A178" s="9" t="s">
        <v>396</v>
      </c>
      <c r="B178" s="10" t="s">
        <v>366</v>
      </c>
      <c r="C178" s="10"/>
      <c r="D178" s="10" t="s">
        <v>397</v>
      </c>
      <c r="E178" s="11"/>
      <c r="F178" s="12"/>
      <c r="G178" s="11"/>
    </row>
    <row r="179" customFormat="false" ht="30" hidden="false" customHeight="true" outlineLevel="0" collapsed="false">
      <c r="A179" s="9" t="s">
        <v>398</v>
      </c>
      <c r="B179" s="10" t="s">
        <v>366</v>
      </c>
      <c r="C179" s="10"/>
      <c r="D179" s="10" t="s">
        <v>399</v>
      </c>
      <c r="E179" s="11"/>
      <c r="F179" s="12"/>
      <c r="G179" s="11"/>
    </row>
    <row r="180" customFormat="false" ht="30" hidden="false" customHeight="true" outlineLevel="0" collapsed="false">
      <c r="A180" s="9" t="s">
        <v>400</v>
      </c>
      <c r="B180" s="10" t="s">
        <v>366</v>
      </c>
      <c r="C180" s="10"/>
      <c r="D180" s="10" t="s">
        <v>401</v>
      </c>
      <c r="E180" s="11"/>
      <c r="F180" s="12"/>
      <c r="G180" s="11"/>
    </row>
    <row r="181" customFormat="false" ht="30" hidden="false" customHeight="true" outlineLevel="0" collapsed="false">
      <c r="A181" s="9" t="s">
        <v>402</v>
      </c>
      <c r="B181" s="10" t="s">
        <v>403</v>
      </c>
      <c r="C181" s="10"/>
      <c r="D181" s="10" t="s">
        <v>404</v>
      </c>
      <c r="E181" s="11"/>
      <c r="F181" s="12"/>
      <c r="G181" s="11"/>
    </row>
    <row r="182" customFormat="false" ht="30" hidden="false" customHeight="true" outlineLevel="0" collapsed="false">
      <c r="A182" s="9" t="s">
        <v>405</v>
      </c>
      <c r="B182" s="10" t="s">
        <v>403</v>
      </c>
      <c r="C182" s="10"/>
      <c r="D182" s="10" t="s">
        <v>406</v>
      </c>
      <c r="E182" s="11"/>
      <c r="F182" s="12"/>
      <c r="G182" s="11"/>
    </row>
    <row r="183" customFormat="false" ht="30" hidden="false" customHeight="true" outlineLevel="0" collapsed="false">
      <c r="A183" s="9" t="s">
        <v>407</v>
      </c>
      <c r="B183" s="10" t="s">
        <v>403</v>
      </c>
      <c r="C183" s="10"/>
      <c r="D183" s="10" t="s">
        <v>408</v>
      </c>
      <c r="E183" s="11"/>
      <c r="F183" s="12"/>
      <c r="G183" s="11"/>
    </row>
    <row r="184" customFormat="false" ht="30" hidden="false" customHeight="true" outlineLevel="0" collapsed="false">
      <c r="A184" s="9" t="s">
        <v>409</v>
      </c>
      <c r="B184" s="10" t="s">
        <v>403</v>
      </c>
      <c r="C184" s="10"/>
      <c r="D184" s="10" t="s">
        <v>410</v>
      </c>
      <c r="E184" s="11"/>
      <c r="F184" s="12"/>
      <c r="G184" s="11"/>
    </row>
    <row r="185" customFormat="false" ht="30" hidden="false" customHeight="true" outlineLevel="0" collapsed="false">
      <c r="A185" s="9" t="s">
        <v>411</v>
      </c>
      <c r="B185" s="10" t="s">
        <v>403</v>
      </c>
      <c r="C185" s="10"/>
      <c r="D185" s="10" t="s">
        <v>412</v>
      </c>
      <c r="E185" s="11"/>
      <c r="F185" s="12"/>
      <c r="G185" s="11"/>
    </row>
    <row r="186" customFormat="false" ht="30" hidden="false" customHeight="true" outlineLevel="0" collapsed="false">
      <c r="A186" s="9" t="s">
        <v>413</v>
      </c>
      <c r="B186" s="10" t="s">
        <v>403</v>
      </c>
      <c r="C186" s="10"/>
      <c r="D186" s="10" t="s">
        <v>414</v>
      </c>
      <c r="E186" s="11"/>
      <c r="F186" s="12"/>
      <c r="G186" s="11"/>
    </row>
    <row r="187" customFormat="false" ht="30" hidden="false" customHeight="true" outlineLevel="0" collapsed="false">
      <c r="A187" s="9" t="s">
        <v>415</v>
      </c>
      <c r="B187" s="10" t="s">
        <v>403</v>
      </c>
      <c r="C187" s="10"/>
      <c r="D187" s="10" t="s">
        <v>416</v>
      </c>
      <c r="E187" s="11"/>
      <c r="F187" s="12"/>
      <c r="G187" s="11"/>
    </row>
    <row r="188" customFormat="false" ht="30" hidden="false" customHeight="true" outlineLevel="0" collapsed="false">
      <c r="A188" s="9" t="s">
        <v>417</v>
      </c>
      <c r="B188" s="10" t="s">
        <v>403</v>
      </c>
      <c r="C188" s="10"/>
      <c r="D188" s="10" t="s">
        <v>418</v>
      </c>
      <c r="E188" s="11"/>
      <c r="F188" s="12"/>
      <c r="G188" s="11"/>
    </row>
    <row r="189" customFormat="false" ht="30" hidden="false" customHeight="true" outlineLevel="0" collapsed="false">
      <c r="A189" s="9" t="s">
        <v>419</v>
      </c>
      <c r="B189" s="10" t="s">
        <v>403</v>
      </c>
      <c r="C189" s="10"/>
      <c r="D189" s="10" t="s">
        <v>420</v>
      </c>
      <c r="E189" s="11"/>
      <c r="F189" s="12"/>
      <c r="G189" s="11"/>
    </row>
    <row r="190" customFormat="false" ht="30" hidden="false" customHeight="true" outlineLevel="0" collapsed="false">
      <c r="A190" s="9" t="s">
        <v>421</v>
      </c>
      <c r="B190" s="10" t="s">
        <v>403</v>
      </c>
      <c r="C190" s="10"/>
      <c r="D190" s="10" t="s">
        <v>422</v>
      </c>
      <c r="E190" s="11"/>
      <c r="F190" s="12"/>
      <c r="G190" s="11"/>
    </row>
    <row r="191" customFormat="false" ht="30" hidden="false" customHeight="true" outlineLevel="0" collapsed="false">
      <c r="A191" s="9" t="s">
        <v>423</v>
      </c>
      <c r="B191" s="10" t="s">
        <v>403</v>
      </c>
      <c r="C191" s="10"/>
      <c r="D191" s="10" t="s">
        <v>424</v>
      </c>
      <c r="E191" s="11"/>
      <c r="F191" s="12"/>
      <c r="G191" s="11"/>
    </row>
    <row r="192" customFormat="false" ht="30" hidden="false" customHeight="true" outlineLevel="0" collapsed="false">
      <c r="A192" s="9" t="s">
        <v>425</v>
      </c>
      <c r="B192" s="10" t="s">
        <v>403</v>
      </c>
      <c r="C192" s="10"/>
      <c r="D192" s="10" t="s">
        <v>426</v>
      </c>
      <c r="E192" s="11"/>
      <c r="F192" s="12"/>
      <c r="G192" s="11"/>
    </row>
    <row r="193" customFormat="false" ht="30" hidden="false" customHeight="true" outlineLevel="0" collapsed="false">
      <c r="A193" s="9" t="s">
        <v>427</v>
      </c>
      <c r="B193" s="10" t="s">
        <v>403</v>
      </c>
      <c r="C193" s="10"/>
      <c r="D193" s="10" t="s">
        <v>428</v>
      </c>
      <c r="E193" s="11"/>
      <c r="F193" s="12"/>
      <c r="G193" s="11"/>
    </row>
    <row r="194" customFormat="false" ht="30" hidden="false" customHeight="true" outlineLevel="0" collapsed="false">
      <c r="A194" s="9" t="s">
        <v>429</v>
      </c>
      <c r="B194" s="10" t="s">
        <v>403</v>
      </c>
      <c r="C194" s="10"/>
      <c r="D194" s="10" t="s">
        <v>430</v>
      </c>
      <c r="E194" s="11"/>
      <c r="F194" s="12"/>
      <c r="G194" s="11"/>
    </row>
    <row r="195" customFormat="false" ht="30" hidden="false" customHeight="true" outlineLevel="0" collapsed="false">
      <c r="A195" s="9" t="s">
        <v>431</v>
      </c>
      <c r="B195" s="10" t="s">
        <v>403</v>
      </c>
      <c r="C195" s="10"/>
      <c r="D195" s="10" t="s">
        <v>432</v>
      </c>
      <c r="E195" s="11"/>
      <c r="F195" s="12"/>
      <c r="G195" s="11"/>
    </row>
    <row r="196" customFormat="false" ht="30" hidden="false" customHeight="true" outlineLevel="0" collapsed="false">
      <c r="A196" s="9" t="s">
        <v>433</v>
      </c>
      <c r="B196" s="10" t="s">
        <v>403</v>
      </c>
      <c r="C196" s="10"/>
      <c r="D196" s="10" t="s">
        <v>434</v>
      </c>
      <c r="E196" s="11"/>
      <c r="F196" s="12"/>
      <c r="G196" s="11"/>
    </row>
    <row r="197" customFormat="false" ht="30" hidden="false" customHeight="true" outlineLevel="0" collapsed="false">
      <c r="A197" s="9" t="s">
        <v>435</v>
      </c>
      <c r="B197" s="10" t="s">
        <v>403</v>
      </c>
      <c r="C197" s="10"/>
      <c r="D197" s="10" t="s">
        <v>436</v>
      </c>
      <c r="E197" s="11"/>
      <c r="F197" s="12"/>
      <c r="G197" s="11"/>
    </row>
    <row r="198" customFormat="false" ht="30" hidden="false" customHeight="true" outlineLevel="0" collapsed="false">
      <c r="A198" s="9" t="s">
        <v>437</v>
      </c>
      <c r="B198" s="10" t="s">
        <v>403</v>
      </c>
      <c r="C198" s="10"/>
      <c r="D198" s="10" t="s">
        <v>438</v>
      </c>
      <c r="E198" s="11"/>
      <c r="F198" s="12"/>
      <c r="G198" s="11"/>
    </row>
    <row r="199" customFormat="false" ht="30" hidden="false" customHeight="true" outlineLevel="0" collapsed="false">
      <c r="A199" s="9" t="s">
        <v>439</v>
      </c>
      <c r="B199" s="10" t="s">
        <v>403</v>
      </c>
      <c r="C199" s="10"/>
      <c r="D199" s="10" t="s">
        <v>440</v>
      </c>
      <c r="E199" s="11"/>
      <c r="F199" s="12"/>
      <c r="G199" s="11"/>
    </row>
    <row r="200" customFormat="false" ht="30" hidden="false" customHeight="true" outlineLevel="0" collapsed="false">
      <c r="A200" s="9" t="s">
        <v>441</v>
      </c>
      <c r="B200" s="10" t="s">
        <v>442</v>
      </c>
      <c r="C200" s="10"/>
      <c r="D200" s="10" t="s">
        <v>443</v>
      </c>
      <c r="E200" s="11"/>
      <c r="F200" s="12"/>
      <c r="G200" s="11"/>
    </row>
    <row r="201" customFormat="false" ht="30" hidden="false" customHeight="true" outlineLevel="0" collapsed="false">
      <c r="A201" s="9" t="s">
        <v>444</v>
      </c>
      <c r="B201" s="10" t="s">
        <v>442</v>
      </c>
      <c r="C201" s="10"/>
      <c r="D201" s="10" t="s">
        <v>445</v>
      </c>
      <c r="E201" s="11"/>
      <c r="F201" s="12"/>
      <c r="G201" s="11"/>
    </row>
    <row r="202" customFormat="false" ht="30" hidden="false" customHeight="true" outlineLevel="0" collapsed="false">
      <c r="A202" s="9" t="s">
        <v>446</v>
      </c>
      <c r="B202" s="10" t="s">
        <v>442</v>
      </c>
      <c r="C202" s="10"/>
      <c r="D202" s="10" t="s">
        <v>447</v>
      </c>
      <c r="E202" s="11"/>
      <c r="F202" s="12"/>
      <c r="G202" s="11"/>
    </row>
    <row r="203" customFormat="false" ht="30" hidden="false" customHeight="true" outlineLevel="0" collapsed="false">
      <c r="A203" s="9" t="s">
        <v>448</v>
      </c>
      <c r="B203" s="10" t="s">
        <v>442</v>
      </c>
      <c r="C203" s="10"/>
      <c r="D203" s="10" t="s">
        <v>449</v>
      </c>
      <c r="E203" s="11"/>
      <c r="F203" s="12"/>
      <c r="G203" s="11"/>
    </row>
    <row r="204" customFormat="false" ht="30" hidden="false" customHeight="true" outlineLevel="0" collapsed="false">
      <c r="A204" s="9" t="s">
        <v>450</v>
      </c>
      <c r="B204" s="10" t="s">
        <v>442</v>
      </c>
      <c r="C204" s="10"/>
      <c r="D204" s="10" t="s">
        <v>451</v>
      </c>
      <c r="E204" s="11"/>
      <c r="F204" s="12"/>
      <c r="G204" s="11"/>
    </row>
    <row r="205" customFormat="false" ht="30" hidden="false" customHeight="true" outlineLevel="0" collapsed="false">
      <c r="A205" s="9" t="s">
        <v>452</v>
      </c>
      <c r="B205" s="10" t="s">
        <v>442</v>
      </c>
      <c r="C205" s="10"/>
      <c r="D205" s="10" t="s">
        <v>453</v>
      </c>
      <c r="E205" s="11"/>
      <c r="F205" s="12"/>
      <c r="G205" s="11"/>
    </row>
    <row r="206" customFormat="false" ht="30" hidden="false" customHeight="true" outlineLevel="0" collapsed="false">
      <c r="A206" s="9" t="s">
        <v>454</v>
      </c>
      <c r="B206" s="10" t="s">
        <v>442</v>
      </c>
      <c r="C206" s="10"/>
      <c r="D206" s="10" t="s">
        <v>455</v>
      </c>
      <c r="E206" s="11"/>
      <c r="F206" s="12"/>
      <c r="G206" s="11"/>
    </row>
    <row r="207" customFormat="false" ht="30" hidden="false" customHeight="true" outlineLevel="0" collapsed="false">
      <c r="A207" s="9" t="s">
        <v>456</v>
      </c>
      <c r="B207" s="10" t="s">
        <v>442</v>
      </c>
      <c r="C207" s="10"/>
      <c r="D207" s="10" t="s">
        <v>457</v>
      </c>
      <c r="E207" s="11"/>
      <c r="F207" s="12"/>
      <c r="G207" s="11"/>
    </row>
    <row r="208" customFormat="false" ht="30" hidden="false" customHeight="true" outlineLevel="0" collapsed="false">
      <c r="A208" s="9" t="s">
        <v>458</v>
      </c>
      <c r="B208" s="10" t="s">
        <v>442</v>
      </c>
      <c r="C208" s="10"/>
      <c r="D208" s="10" t="s">
        <v>459</v>
      </c>
      <c r="E208" s="11"/>
      <c r="F208" s="12"/>
      <c r="G208" s="11"/>
    </row>
    <row r="209" customFormat="false" ht="30" hidden="false" customHeight="true" outlineLevel="0" collapsed="false">
      <c r="A209" s="9" t="s">
        <v>460</v>
      </c>
      <c r="B209" s="10" t="s">
        <v>442</v>
      </c>
      <c r="C209" s="10"/>
      <c r="D209" s="10" t="s">
        <v>461</v>
      </c>
      <c r="E209" s="11"/>
      <c r="F209" s="12"/>
      <c r="G209" s="11"/>
    </row>
    <row r="210" customFormat="false" ht="30" hidden="false" customHeight="true" outlineLevel="0" collapsed="false">
      <c r="A210" s="9" t="s">
        <v>462</v>
      </c>
      <c r="B210" s="10" t="s">
        <v>442</v>
      </c>
      <c r="C210" s="10"/>
      <c r="D210" s="10" t="s">
        <v>463</v>
      </c>
      <c r="E210" s="11"/>
      <c r="F210" s="12"/>
      <c r="G210" s="11"/>
    </row>
    <row r="211" customFormat="false" ht="30" hidden="false" customHeight="true" outlineLevel="0" collapsed="false">
      <c r="A211" s="9" t="s">
        <v>464</v>
      </c>
      <c r="B211" s="10" t="s">
        <v>442</v>
      </c>
      <c r="C211" s="10"/>
      <c r="D211" s="10" t="s">
        <v>465</v>
      </c>
      <c r="E211" s="11"/>
      <c r="F211" s="12"/>
      <c r="G211" s="11"/>
    </row>
    <row r="212" customFormat="false" ht="30" hidden="false" customHeight="true" outlineLevel="0" collapsed="false">
      <c r="A212" s="9" t="s">
        <v>466</v>
      </c>
      <c r="B212" s="10" t="s">
        <v>442</v>
      </c>
      <c r="C212" s="10"/>
      <c r="D212" s="10" t="s">
        <v>467</v>
      </c>
      <c r="E212" s="11"/>
      <c r="F212" s="12"/>
      <c r="G212" s="11"/>
    </row>
    <row r="213" customFormat="false" ht="30" hidden="false" customHeight="true" outlineLevel="0" collapsed="false">
      <c r="A213" s="9" t="s">
        <v>468</v>
      </c>
      <c r="B213" s="10" t="s">
        <v>469</v>
      </c>
      <c r="C213" s="10"/>
      <c r="D213" s="10" t="s">
        <v>470</v>
      </c>
      <c r="E213" s="11"/>
      <c r="F213" s="12"/>
      <c r="G213" s="11"/>
    </row>
    <row r="214" customFormat="false" ht="30" hidden="false" customHeight="true" outlineLevel="0" collapsed="false">
      <c r="A214" s="9" t="s">
        <v>471</v>
      </c>
      <c r="B214" s="10" t="s">
        <v>469</v>
      </c>
      <c r="C214" s="10"/>
      <c r="D214" s="10" t="s">
        <v>472</v>
      </c>
      <c r="E214" s="11"/>
      <c r="F214" s="12"/>
      <c r="G214" s="11"/>
    </row>
    <row r="215" customFormat="false" ht="30" hidden="false" customHeight="true" outlineLevel="0" collapsed="false">
      <c r="A215" s="9" t="s">
        <v>473</v>
      </c>
      <c r="B215" s="10" t="s">
        <v>469</v>
      </c>
      <c r="C215" s="10"/>
      <c r="D215" s="10" t="s">
        <v>474</v>
      </c>
      <c r="E215" s="11"/>
      <c r="F215" s="12"/>
      <c r="G215" s="11"/>
    </row>
    <row r="216" customFormat="false" ht="30" hidden="false" customHeight="true" outlineLevel="0" collapsed="false">
      <c r="A216" s="9" t="s">
        <v>475</v>
      </c>
      <c r="B216" s="10" t="s">
        <v>469</v>
      </c>
      <c r="C216" s="10"/>
      <c r="D216" s="10" t="s">
        <v>476</v>
      </c>
      <c r="E216" s="11"/>
      <c r="F216" s="12"/>
      <c r="G216" s="11"/>
    </row>
    <row r="217" customFormat="false" ht="30" hidden="false" customHeight="true" outlineLevel="0" collapsed="false">
      <c r="A217" s="9" t="s">
        <v>477</v>
      </c>
      <c r="B217" s="10" t="s">
        <v>469</v>
      </c>
      <c r="C217" s="10"/>
      <c r="D217" s="10" t="s">
        <v>478</v>
      </c>
      <c r="E217" s="11"/>
      <c r="F217" s="12"/>
      <c r="G217" s="11"/>
    </row>
    <row r="218" customFormat="false" ht="30" hidden="false" customHeight="true" outlineLevel="0" collapsed="false">
      <c r="A218" s="9" t="s">
        <v>479</v>
      </c>
      <c r="B218" s="10" t="s">
        <v>469</v>
      </c>
      <c r="C218" s="10"/>
      <c r="D218" s="10" t="s">
        <v>480</v>
      </c>
      <c r="E218" s="11"/>
      <c r="F218" s="12"/>
      <c r="G218" s="11"/>
    </row>
    <row r="219" customFormat="false" ht="30" hidden="false" customHeight="true" outlineLevel="0" collapsed="false">
      <c r="A219" s="9" t="s">
        <v>481</v>
      </c>
      <c r="B219" s="10" t="s">
        <v>469</v>
      </c>
      <c r="C219" s="10"/>
      <c r="D219" s="10" t="s">
        <v>482</v>
      </c>
      <c r="E219" s="11"/>
      <c r="F219" s="12"/>
      <c r="G219" s="11"/>
    </row>
    <row r="220" customFormat="false" ht="30" hidden="false" customHeight="true" outlineLevel="0" collapsed="false">
      <c r="A220" s="9" t="s">
        <v>483</v>
      </c>
      <c r="B220" s="10" t="s">
        <v>469</v>
      </c>
      <c r="C220" s="10"/>
      <c r="D220" s="10" t="s">
        <v>484</v>
      </c>
      <c r="E220" s="11"/>
      <c r="F220" s="12"/>
      <c r="G220" s="11"/>
    </row>
    <row r="221" customFormat="false" ht="30" hidden="false" customHeight="true" outlineLevel="0" collapsed="false">
      <c r="A221" s="9" t="s">
        <v>485</v>
      </c>
      <c r="B221" s="10" t="s">
        <v>469</v>
      </c>
      <c r="C221" s="10"/>
      <c r="D221" s="10" t="s">
        <v>486</v>
      </c>
      <c r="E221" s="11"/>
      <c r="F221" s="12"/>
      <c r="G221" s="11"/>
    </row>
    <row r="222" customFormat="false" ht="30" hidden="false" customHeight="true" outlineLevel="0" collapsed="false">
      <c r="A222" s="9" t="s">
        <v>487</v>
      </c>
      <c r="B222" s="10" t="s">
        <v>469</v>
      </c>
      <c r="C222" s="10"/>
      <c r="D222" s="10" t="s">
        <v>488</v>
      </c>
      <c r="E222" s="11"/>
      <c r="F222" s="12"/>
      <c r="G222" s="11"/>
    </row>
    <row r="223" customFormat="false" ht="30" hidden="false" customHeight="true" outlineLevel="0" collapsed="false">
      <c r="A223" s="9" t="s">
        <v>489</v>
      </c>
      <c r="B223" s="10" t="s">
        <v>469</v>
      </c>
      <c r="C223" s="10"/>
      <c r="D223" s="10" t="s">
        <v>490</v>
      </c>
      <c r="E223" s="11"/>
      <c r="F223" s="12"/>
      <c r="G223" s="11"/>
    </row>
    <row r="224" customFormat="false" ht="30" hidden="false" customHeight="true" outlineLevel="0" collapsed="false">
      <c r="A224" s="9" t="s">
        <v>491</v>
      </c>
      <c r="B224" s="10" t="s">
        <v>492</v>
      </c>
      <c r="C224" s="10"/>
      <c r="D224" s="10" t="s">
        <v>493</v>
      </c>
      <c r="E224" s="11"/>
      <c r="F224" s="12"/>
      <c r="G224" s="11"/>
    </row>
    <row r="225" customFormat="false" ht="30" hidden="false" customHeight="true" outlineLevel="0" collapsed="false">
      <c r="A225" s="9" t="s">
        <v>494</v>
      </c>
      <c r="B225" s="10" t="s">
        <v>492</v>
      </c>
      <c r="C225" s="10"/>
      <c r="D225" s="10" t="s">
        <v>495</v>
      </c>
      <c r="E225" s="11"/>
      <c r="F225" s="12"/>
      <c r="G225" s="11"/>
    </row>
    <row r="226" customFormat="false" ht="30" hidden="false" customHeight="true" outlineLevel="0" collapsed="false">
      <c r="A226" s="9" t="s">
        <v>496</v>
      </c>
      <c r="B226" s="10" t="s">
        <v>492</v>
      </c>
      <c r="C226" s="10"/>
      <c r="D226" s="10" t="s">
        <v>497</v>
      </c>
      <c r="E226" s="11"/>
      <c r="F226" s="12"/>
      <c r="G226" s="11"/>
    </row>
    <row r="227" customFormat="false" ht="30" hidden="false" customHeight="true" outlineLevel="0" collapsed="false">
      <c r="A227" s="9" t="s">
        <v>498</v>
      </c>
      <c r="B227" s="10" t="s">
        <v>492</v>
      </c>
      <c r="C227" s="10"/>
      <c r="D227" s="10" t="s">
        <v>499</v>
      </c>
      <c r="E227" s="11"/>
      <c r="F227" s="12"/>
      <c r="G227" s="11"/>
    </row>
    <row r="228" customFormat="false" ht="30" hidden="false" customHeight="true" outlineLevel="0" collapsed="false">
      <c r="A228" s="9" t="s">
        <v>500</v>
      </c>
      <c r="B228" s="10" t="s">
        <v>492</v>
      </c>
      <c r="C228" s="10"/>
      <c r="D228" s="10" t="s">
        <v>501</v>
      </c>
      <c r="E228" s="11"/>
      <c r="F228" s="12"/>
      <c r="G228" s="11"/>
    </row>
    <row r="229" customFormat="false" ht="30" hidden="false" customHeight="true" outlineLevel="0" collapsed="false">
      <c r="A229" s="9" t="s">
        <v>502</v>
      </c>
      <c r="B229" s="10" t="s">
        <v>492</v>
      </c>
      <c r="C229" s="10"/>
      <c r="D229" s="10" t="s">
        <v>503</v>
      </c>
      <c r="E229" s="11"/>
      <c r="F229" s="12"/>
      <c r="G229" s="11"/>
    </row>
    <row r="230" customFormat="false" ht="30" hidden="false" customHeight="true" outlineLevel="0" collapsed="false">
      <c r="A230" s="9" t="s">
        <v>504</v>
      </c>
      <c r="B230" s="10" t="s">
        <v>492</v>
      </c>
      <c r="C230" s="10"/>
      <c r="D230" s="10" t="s">
        <v>505</v>
      </c>
      <c r="E230" s="11"/>
      <c r="F230" s="12"/>
      <c r="G230" s="11"/>
    </row>
    <row r="231" customFormat="false" ht="30" hidden="false" customHeight="true" outlineLevel="0" collapsed="false">
      <c r="A231" s="9" t="s">
        <v>506</v>
      </c>
      <c r="B231" s="10" t="s">
        <v>492</v>
      </c>
      <c r="C231" s="10"/>
      <c r="D231" s="10" t="s">
        <v>507</v>
      </c>
      <c r="E231" s="11"/>
      <c r="F231" s="12"/>
      <c r="G231" s="11"/>
    </row>
    <row r="232" customFormat="false" ht="30" hidden="false" customHeight="true" outlineLevel="0" collapsed="false">
      <c r="A232" s="9" t="s">
        <v>508</v>
      </c>
      <c r="B232" s="10" t="s">
        <v>492</v>
      </c>
      <c r="C232" s="10"/>
      <c r="D232" s="10" t="s">
        <v>509</v>
      </c>
      <c r="E232" s="11"/>
      <c r="F232" s="12"/>
      <c r="G232" s="11"/>
    </row>
    <row r="233" customFormat="false" ht="30" hidden="false" customHeight="true" outlineLevel="0" collapsed="false">
      <c r="A233" s="9" t="s">
        <v>510</v>
      </c>
      <c r="B233" s="10" t="s">
        <v>492</v>
      </c>
      <c r="C233" s="10"/>
      <c r="D233" s="10" t="s">
        <v>511</v>
      </c>
      <c r="E233" s="11"/>
      <c r="F233" s="12"/>
      <c r="G233" s="11"/>
    </row>
    <row r="234" customFormat="false" ht="30" hidden="false" customHeight="true" outlineLevel="0" collapsed="false">
      <c r="A234" s="9" t="s">
        <v>512</v>
      </c>
      <c r="B234" s="10" t="s">
        <v>492</v>
      </c>
      <c r="C234" s="10"/>
      <c r="D234" s="10" t="s">
        <v>513</v>
      </c>
      <c r="E234" s="11"/>
      <c r="F234" s="12"/>
      <c r="G234" s="11"/>
    </row>
    <row r="235" customFormat="false" ht="30" hidden="false" customHeight="true" outlineLevel="0" collapsed="false">
      <c r="A235" s="9" t="s">
        <v>514</v>
      </c>
      <c r="B235" s="10" t="s">
        <v>492</v>
      </c>
      <c r="C235" s="10"/>
      <c r="D235" s="10" t="s">
        <v>515</v>
      </c>
      <c r="E235" s="11"/>
      <c r="F235" s="12"/>
      <c r="G235" s="11"/>
    </row>
    <row r="236" customFormat="false" ht="30" hidden="false" customHeight="true" outlineLevel="0" collapsed="false">
      <c r="A236" s="9" t="s">
        <v>516</v>
      </c>
      <c r="B236" s="10" t="s">
        <v>492</v>
      </c>
      <c r="C236" s="10"/>
      <c r="D236" s="10" t="s">
        <v>517</v>
      </c>
      <c r="E236" s="11"/>
      <c r="F236" s="12"/>
      <c r="G236" s="11"/>
    </row>
    <row r="237" customFormat="false" ht="30" hidden="false" customHeight="true" outlineLevel="0" collapsed="false">
      <c r="A237" s="9" t="s">
        <v>518</v>
      </c>
      <c r="B237" s="10" t="s">
        <v>519</v>
      </c>
      <c r="C237" s="10"/>
      <c r="D237" s="10" t="s">
        <v>520</v>
      </c>
      <c r="E237" s="11"/>
      <c r="F237" s="12"/>
      <c r="G237" s="11"/>
    </row>
    <row r="238" customFormat="false" ht="30" hidden="false" customHeight="true" outlineLevel="0" collapsed="false">
      <c r="A238" s="9" t="s">
        <v>521</v>
      </c>
      <c r="B238" s="10" t="s">
        <v>519</v>
      </c>
      <c r="C238" s="10"/>
      <c r="D238" s="10" t="s">
        <v>522</v>
      </c>
      <c r="E238" s="11"/>
      <c r="F238" s="12"/>
      <c r="G238" s="11"/>
    </row>
    <row r="239" customFormat="false" ht="30" hidden="false" customHeight="true" outlineLevel="0" collapsed="false">
      <c r="A239" s="9" t="s">
        <v>523</v>
      </c>
      <c r="B239" s="10" t="s">
        <v>519</v>
      </c>
      <c r="C239" s="10"/>
      <c r="D239" s="10" t="s">
        <v>524</v>
      </c>
      <c r="E239" s="11"/>
      <c r="F239" s="12"/>
      <c r="G239" s="11"/>
    </row>
    <row r="240" customFormat="false" ht="30" hidden="false" customHeight="true" outlineLevel="0" collapsed="false">
      <c r="A240" s="9" t="s">
        <v>525</v>
      </c>
      <c r="B240" s="10" t="s">
        <v>519</v>
      </c>
      <c r="C240" s="10"/>
      <c r="D240" s="10" t="s">
        <v>526</v>
      </c>
      <c r="E240" s="11"/>
      <c r="F240" s="12"/>
      <c r="G240" s="11"/>
    </row>
    <row r="241" customFormat="false" ht="30" hidden="false" customHeight="true" outlineLevel="0" collapsed="false">
      <c r="A241" s="9" t="s">
        <v>527</v>
      </c>
      <c r="B241" s="10" t="s">
        <v>519</v>
      </c>
      <c r="C241" s="10"/>
      <c r="D241" s="10" t="s">
        <v>528</v>
      </c>
      <c r="E241" s="11"/>
      <c r="F241" s="12"/>
      <c r="G241" s="11"/>
    </row>
    <row r="242" customFormat="false" ht="30" hidden="false" customHeight="true" outlineLevel="0" collapsed="false">
      <c r="A242" s="9" t="s">
        <v>529</v>
      </c>
      <c r="B242" s="10" t="s">
        <v>519</v>
      </c>
      <c r="C242" s="10"/>
      <c r="D242" s="10" t="s">
        <v>530</v>
      </c>
      <c r="E242" s="11"/>
      <c r="F242" s="12"/>
      <c r="G242" s="11"/>
    </row>
    <row r="243" customFormat="false" ht="30" hidden="false" customHeight="true" outlineLevel="0" collapsed="false">
      <c r="A243" s="9" t="s">
        <v>531</v>
      </c>
      <c r="B243" s="10" t="s">
        <v>519</v>
      </c>
      <c r="C243" s="10"/>
      <c r="D243" s="10" t="s">
        <v>532</v>
      </c>
      <c r="E243" s="11"/>
      <c r="F243" s="12"/>
      <c r="G243" s="11"/>
    </row>
    <row r="244" customFormat="false" ht="30" hidden="false" customHeight="true" outlineLevel="0" collapsed="false">
      <c r="A244" s="9" t="s">
        <v>533</v>
      </c>
      <c r="B244" s="10" t="s">
        <v>519</v>
      </c>
      <c r="C244" s="10"/>
      <c r="D244" s="10" t="s">
        <v>534</v>
      </c>
      <c r="E244" s="11"/>
      <c r="F244" s="12"/>
      <c r="G244" s="11"/>
    </row>
    <row r="245" customFormat="false" ht="30" hidden="false" customHeight="true" outlineLevel="0" collapsed="false">
      <c r="A245" s="9" t="s">
        <v>535</v>
      </c>
      <c r="B245" s="10" t="s">
        <v>519</v>
      </c>
      <c r="C245" s="10"/>
      <c r="D245" s="10" t="s">
        <v>536</v>
      </c>
      <c r="E245" s="11"/>
      <c r="F245" s="12"/>
      <c r="G245" s="11"/>
    </row>
    <row r="246" customFormat="false" ht="30" hidden="false" customHeight="true" outlineLevel="0" collapsed="false">
      <c r="A246" s="9" t="s">
        <v>537</v>
      </c>
      <c r="B246" s="10" t="s">
        <v>519</v>
      </c>
      <c r="C246" s="10"/>
      <c r="D246" s="10" t="s">
        <v>538</v>
      </c>
      <c r="E246" s="11"/>
      <c r="F246" s="12"/>
      <c r="G246" s="11"/>
    </row>
    <row r="247" customFormat="false" ht="30" hidden="false" customHeight="true" outlineLevel="0" collapsed="false">
      <c r="A247" s="9" t="s">
        <v>539</v>
      </c>
      <c r="B247" s="10" t="s">
        <v>519</v>
      </c>
      <c r="C247" s="10"/>
      <c r="D247" s="10" t="s">
        <v>540</v>
      </c>
      <c r="E247" s="11"/>
      <c r="F247" s="12"/>
      <c r="G247" s="11"/>
    </row>
    <row r="248" customFormat="false" ht="30" hidden="false" customHeight="true" outlineLevel="0" collapsed="false">
      <c r="A248" s="9" t="s">
        <v>541</v>
      </c>
      <c r="B248" s="10" t="s">
        <v>519</v>
      </c>
      <c r="C248" s="10"/>
      <c r="D248" s="10" t="s">
        <v>542</v>
      </c>
      <c r="E248" s="11"/>
      <c r="F248" s="12"/>
      <c r="G248" s="11"/>
    </row>
    <row r="249" customFormat="false" ht="30" hidden="false" customHeight="true" outlineLevel="0" collapsed="false">
      <c r="A249" s="9" t="s">
        <v>543</v>
      </c>
      <c r="B249" s="10" t="s">
        <v>519</v>
      </c>
      <c r="C249" s="10"/>
      <c r="D249" s="10" t="s">
        <v>544</v>
      </c>
      <c r="E249" s="11"/>
      <c r="F249" s="12"/>
      <c r="G249" s="11"/>
    </row>
    <row r="250" customFormat="false" ht="30" hidden="false" customHeight="true" outlineLevel="0" collapsed="false">
      <c r="A250" s="9" t="s">
        <v>545</v>
      </c>
      <c r="B250" s="10" t="s">
        <v>546</v>
      </c>
      <c r="C250" s="10"/>
      <c r="D250" s="10" t="s">
        <v>547</v>
      </c>
      <c r="E250" s="11"/>
      <c r="F250" s="12"/>
      <c r="G250" s="11"/>
    </row>
    <row r="251" customFormat="false" ht="30" hidden="false" customHeight="true" outlineLevel="0" collapsed="false">
      <c r="A251" s="9" t="s">
        <v>548</v>
      </c>
      <c r="B251" s="10" t="s">
        <v>546</v>
      </c>
      <c r="C251" s="10"/>
      <c r="D251" s="10" t="s">
        <v>549</v>
      </c>
      <c r="E251" s="11"/>
      <c r="F251" s="12"/>
      <c r="G251" s="11"/>
    </row>
    <row r="252" customFormat="false" ht="30" hidden="false" customHeight="true" outlineLevel="0" collapsed="false">
      <c r="A252" s="9" t="s">
        <v>550</v>
      </c>
      <c r="B252" s="10" t="s">
        <v>546</v>
      </c>
      <c r="C252" s="10"/>
      <c r="D252" s="10" t="s">
        <v>551</v>
      </c>
      <c r="E252" s="11"/>
      <c r="F252" s="12"/>
      <c r="G252" s="11"/>
    </row>
    <row r="253" customFormat="false" ht="30" hidden="false" customHeight="true" outlineLevel="0" collapsed="false">
      <c r="A253" s="9" t="s">
        <v>552</v>
      </c>
      <c r="B253" s="10" t="s">
        <v>546</v>
      </c>
      <c r="C253" s="10"/>
      <c r="D253" s="10" t="s">
        <v>553</v>
      </c>
      <c r="E253" s="11"/>
      <c r="F253" s="12"/>
      <c r="G253" s="11"/>
    </row>
    <row r="254" customFormat="false" ht="30" hidden="false" customHeight="true" outlineLevel="0" collapsed="false">
      <c r="A254" s="9" t="s">
        <v>554</v>
      </c>
      <c r="B254" s="10" t="s">
        <v>546</v>
      </c>
      <c r="C254" s="10"/>
      <c r="D254" s="10" t="s">
        <v>555</v>
      </c>
      <c r="E254" s="11"/>
      <c r="F254" s="12"/>
      <c r="G254" s="11"/>
    </row>
    <row r="255" customFormat="false" ht="30" hidden="false" customHeight="true" outlineLevel="0" collapsed="false">
      <c r="A255" s="9" t="s">
        <v>556</v>
      </c>
      <c r="B255" s="10" t="s">
        <v>546</v>
      </c>
      <c r="C255" s="10"/>
      <c r="D255" s="10" t="s">
        <v>557</v>
      </c>
      <c r="E255" s="11"/>
      <c r="F255" s="12"/>
      <c r="G255" s="11"/>
    </row>
    <row r="256" customFormat="false" ht="30" hidden="false" customHeight="true" outlineLevel="0" collapsed="false">
      <c r="A256" s="9" t="s">
        <v>558</v>
      </c>
      <c r="B256" s="10" t="s">
        <v>546</v>
      </c>
      <c r="C256" s="10"/>
      <c r="D256" s="10" t="s">
        <v>559</v>
      </c>
      <c r="E256" s="11"/>
      <c r="F256" s="12"/>
      <c r="G256" s="11"/>
    </row>
    <row r="257" customFormat="false" ht="30" hidden="false" customHeight="true" outlineLevel="0" collapsed="false">
      <c r="A257" s="9" t="s">
        <v>560</v>
      </c>
      <c r="B257" s="10" t="s">
        <v>546</v>
      </c>
      <c r="C257" s="10"/>
      <c r="D257" s="10" t="s">
        <v>561</v>
      </c>
      <c r="E257" s="11"/>
      <c r="F257" s="12"/>
      <c r="G257" s="11"/>
    </row>
    <row r="258" customFormat="false" ht="30" hidden="false" customHeight="true" outlineLevel="0" collapsed="false">
      <c r="A258" s="9" t="s">
        <v>562</v>
      </c>
      <c r="B258" s="10" t="s">
        <v>546</v>
      </c>
      <c r="C258" s="10"/>
      <c r="D258" s="10" t="s">
        <v>563</v>
      </c>
      <c r="E258" s="11"/>
      <c r="F258" s="12"/>
      <c r="G258" s="11"/>
    </row>
    <row r="259" customFormat="false" ht="30" hidden="false" customHeight="true" outlineLevel="0" collapsed="false">
      <c r="A259" s="9" t="s">
        <v>564</v>
      </c>
      <c r="B259" s="10" t="s">
        <v>546</v>
      </c>
      <c r="C259" s="10"/>
      <c r="D259" s="10" t="s">
        <v>565</v>
      </c>
      <c r="E259" s="11"/>
      <c r="F259" s="12"/>
      <c r="G259" s="11"/>
    </row>
    <row r="260" customFormat="false" ht="30" hidden="false" customHeight="true" outlineLevel="0" collapsed="false">
      <c r="A260" s="9" t="s">
        <v>566</v>
      </c>
      <c r="B260" s="10" t="s">
        <v>546</v>
      </c>
      <c r="C260" s="10"/>
      <c r="D260" s="10" t="s">
        <v>567</v>
      </c>
      <c r="E260" s="11"/>
      <c r="F260" s="12"/>
      <c r="G260" s="11"/>
    </row>
    <row r="261" customFormat="false" ht="30" hidden="false" customHeight="true" outlineLevel="0" collapsed="false">
      <c r="A261" s="9" t="s">
        <v>568</v>
      </c>
      <c r="B261" s="10" t="s">
        <v>569</v>
      </c>
      <c r="C261" s="10"/>
      <c r="D261" s="10" t="s">
        <v>570</v>
      </c>
      <c r="E261" s="11"/>
      <c r="F261" s="12"/>
      <c r="G261" s="11"/>
    </row>
    <row r="262" customFormat="false" ht="30" hidden="false" customHeight="true" outlineLevel="0" collapsed="false">
      <c r="A262" s="9" t="s">
        <v>571</v>
      </c>
      <c r="B262" s="10" t="s">
        <v>569</v>
      </c>
      <c r="C262" s="10"/>
      <c r="D262" s="10" t="s">
        <v>572</v>
      </c>
      <c r="E262" s="11"/>
      <c r="F262" s="12"/>
      <c r="G262" s="11"/>
    </row>
    <row r="263" customFormat="false" ht="30" hidden="false" customHeight="true" outlineLevel="0" collapsed="false">
      <c r="A263" s="9" t="s">
        <v>573</v>
      </c>
      <c r="B263" s="10" t="s">
        <v>569</v>
      </c>
      <c r="C263" s="10"/>
      <c r="D263" s="10" t="s">
        <v>574</v>
      </c>
      <c r="E263" s="11"/>
      <c r="F263" s="12"/>
      <c r="G263" s="11"/>
    </row>
  </sheetData>
  <autoFilter ref="A1:G263"/>
  <dataValidations count="1">
    <dataValidation allowBlank="true" error="Solo Sí, No o N/A." errorStyle="stop" errorTitle="Valor no válido" operator="between" showDropDown="false" showErrorMessage="false" showInputMessage="false" sqref="E2:E263" type="list">
      <formula1>Valores!$A$2:$A$4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0"/>
    <col collapsed="false" customWidth="true" hidden="false" outlineLevel="0" max="3" min="3" style="0" width="56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8" min="6" style="0" width="8"/>
    <col collapsed="false" customWidth="true" hidden="false" outlineLevel="0" max="9" min="9" style="0" width="14"/>
    <col collapsed="false" customWidth="true" hidden="false" outlineLevel="0" max="10" min="10" style="0" width="13"/>
  </cols>
  <sheetData>
    <row r="1" customFormat="false" ht="17.35" hidden="false" customHeight="false" outlineLevel="0" collapsed="false">
      <c r="A1" s="15" t="s">
        <v>575</v>
      </c>
    </row>
    <row r="2" customFormat="false" ht="15" hidden="false" customHeight="false" outlineLevel="0" collapsed="false">
      <c r="A2" s="16" t="s">
        <v>576</v>
      </c>
    </row>
    <row r="4" customFormat="false" ht="15" hidden="false" customHeight="false" outlineLevel="0" collapsed="false">
      <c r="A4" s="6" t="s">
        <v>577</v>
      </c>
      <c r="B4" s="6" t="s">
        <v>21</v>
      </c>
      <c r="C4" s="6" t="s">
        <v>578</v>
      </c>
      <c r="D4" s="6" t="s">
        <v>579</v>
      </c>
      <c r="E4" s="6" t="s">
        <v>580</v>
      </c>
      <c r="F4" s="6" t="s">
        <v>30</v>
      </c>
      <c r="G4" s="6" t="s">
        <v>581</v>
      </c>
      <c r="H4" s="6" t="s">
        <v>582</v>
      </c>
      <c r="I4" s="6" t="s">
        <v>583</v>
      </c>
      <c r="J4" s="6" t="s">
        <v>584</v>
      </c>
    </row>
    <row r="5" customFormat="false" ht="25.5" hidden="false" customHeight="true" outlineLevel="0" collapsed="false">
      <c r="A5" s="17" t="n">
        <v>1</v>
      </c>
      <c r="B5" s="18" t="s">
        <v>27</v>
      </c>
      <c r="C5" s="19" t="s">
        <v>585</v>
      </c>
      <c r="D5" s="17" t="n">
        <f aca="false">'Ranking mini QAW'!$F5</f>
        <v>3</v>
      </c>
      <c r="E5" s="17" t="n">
        <f aca="false">COUNTIF(Preguntas!$B$2:$B$263,$B5)</f>
        <v>57</v>
      </c>
      <c r="F5" s="17" t="n">
        <f aca="false">COUNTIFS(Preguntas!$B$2:$B$263,$B5,Preguntas!$E$2:$E$263,"Sí")</f>
        <v>0</v>
      </c>
      <c r="G5" s="17" t="n">
        <f aca="false">COUNTIFS(Preguntas!$B$2:$B$263,$B5,Preguntas!$E$2:$E$263,"No")</f>
        <v>0</v>
      </c>
      <c r="H5" s="17" t="n">
        <f aca="false">COUNTIFS(Preguntas!$B$2:$B$263,$B5,Preguntas!$E$2:$E$263,"N/A")</f>
        <v>0</v>
      </c>
      <c r="I5" s="17" t="n">
        <f aca="false">$E5-SUM($F5:$H5)</f>
        <v>57</v>
      </c>
      <c r="J5" s="20" t="n">
        <f aca="false">IFERROR(SUM($F5:$H5)/$E5,0)</f>
        <v>0</v>
      </c>
    </row>
    <row r="6" customFormat="false" ht="25.5" hidden="false" customHeight="true" outlineLevel="0" collapsed="false">
      <c r="A6" s="17" t="n">
        <v>2</v>
      </c>
      <c r="B6" s="18" t="s">
        <v>151</v>
      </c>
      <c r="C6" s="19" t="s">
        <v>586</v>
      </c>
      <c r="D6" s="17" t="n">
        <f aca="false">'Ranking mini QAW'!$F6</f>
        <v>11</v>
      </c>
      <c r="E6" s="17" t="n">
        <f aca="false">COUNTIF(Preguntas!$B$2:$B$263,$B6)</f>
        <v>20</v>
      </c>
      <c r="F6" s="17" t="n">
        <f aca="false">COUNTIFS(Preguntas!$B$2:$B$263,$B6,Preguntas!$E$2:$E$263,"Sí")</f>
        <v>0</v>
      </c>
      <c r="G6" s="17" t="n">
        <f aca="false">COUNTIFS(Preguntas!$B$2:$B$263,$B6,Preguntas!$E$2:$E$263,"No")</f>
        <v>0</v>
      </c>
      <c r="H6" s="17" t="n">
        <f aca="false">COUNTIFS(Preguntas!$B$2:$B$263,$B6,Preguntas!$E$2:$E$263,"N/A")</f>
        <v>0</v>
      </c>
      <c r="I6" s="17" t="n">
        <f aca="false">$E6-SUM($F6:$H6)</f>
        <v>20</v>
      </c>
      <c r="J6" s="20" t="n">
        <f aca="false">IFERROR(SUM($F6:$H6)/$E6,0)</f>
        <v>0</v>
      </c>
    </row>
    <row r="7" customFormat="false" ht="25.5" hidden="false" customHeight="true" outlineLevel="0" collapsed="false">
      <c r="A7" s="17" t="n">
        <v>3</v>
      </c>
      <c r="B7" s="18" t="s">
        <v>192</v>
      </c>
      <c r="C7" s="19" t="s">
        <v>587</v>
      </c>
      <c r="D7" s="17" t="n">
        <f aca="false">'Ranking mini QAW'!$F7</f>
        <v>17</v>
      </c>
      <c r="E7" s="17" t="n">
        <f aca="false">COUNTIF(Preguntas!$B$2:$B$263,$B7)</f>
        <v>21</v>
      </c>
      <c r="F7" s="17" t="n">
        <f aca="false">COUNTIFS(Preguntas!$B$2:$B$263,$B7,Preguntas!$E$2:$E$263,"Sí")</f>
        <v>0</v>
      </c>
      <c r="G7" s="17" t="n">
        <f aca="false">COUNTIFS(Preguntas!$B$2:$B$263,$B7,Preguntas!$E$2:$E$263,"No")</f>
        <v>0</v>
      </c>
      <c r="H7" s="17" t="n">
        <f aca="false">COUNTIFS(Preguntas!$B$2:$B$263,$B7,Preguntas!$E$2:$E$263,"N/A")</f>
        <v>0</v>
      </c>
      <c r="I7" s="17" t="n">
        <f aca="false">$E7-SUM($F7:$H7)</f>
        <v>21</v>
      </c>
      <c r="J7" s="20" t="n">
        <f aca="false">IFERROR(SUM($F7:$H7)/$E7,0)</f>
        <v>0</v>
      </c>
    </row>
    <row r="8" customFormat="false" ht="25.5" hidden="false" customHeight="true" outlineLevel="0" collapsed="false">
      <c r="A8" s="17" t="n">
        <v>4</v>
      </c>
      <c r="B8" s="18" t="s">
        <v>235</v>
      </c>
      <c r="C8" s="19" t="s">
        <v>588</v>
      </c>
      <c r="D8" s="17" t="n">
        <f aca="false">'Ranking mini QAW'!$F8</f>
        <v>17</v>
      </c>
      <c r="E8" s="17" t="n">
        <f aca="false">COUNTIF(Preguntas!$B$2:$B$263,$B8)</f>
        <v>32</v>
      </c>
      <c r="F8" s="17" t="n">
        <f aca="false">COUNTIFS(Preguntas!$B$2:$B$263,$B8,Preguntas!$E$2:$E$263,"Sí")</f>
        <v>0</v>
      </c>
      <c r="G8" s="17" t="n">
        <f aca="false">COUNTIFS(Preguntas!$B$2:$B$263,$B8,Preguntas!$E$2:$E$263,"No")</f>
        <v>0</v>
      </c>
      <c r="H8" s="17" t="n">
        <f aca="false">COUNTIFS(Preguntas!$B$2:$B$263,$B8,Preguntas!$E$2:$E$263,"N/A")</f>
        <v>0</v>
      </c>
      <c r="I8" s="17" t="n">
        <f aca="false">$E8-SUM($F8:$H8)</f>
        <v>32</v>
      </c>
      <c r="J8" s="20" t="n">
        <f aca="false">IFERROR(SUM($F8:$H8)/$E8,0)</f>
        <v>0</v>
      </c>
    </row>
    <row r="9" customFormat="false" ht="25.5" hidden="false" customHeight="true" outlineLevel="0" collapsed="false">
      <c r="A9" s="17" t="n">
        <v>5</v>
      </c>
      <c r="B9" s="18" t="s">
        <v>302</v>
      </c>
      <c r="C9" s="19" t="s">
        <v>589</v>
      </c>
      <c r="D9" s="17" t="n">
        <f aca="false">'Ranking mini QAW'!$F9</f>
        <v>19</v>
      </c>
      <c r="E9" s="17" t="n">
        <f aca="false">COUNTIF(Preguntas!$B$2:$B$263,$B9)</f>
        <v>15</v>
      </c>
      <c r="F9" s="17" t="n">
        <f aca="false">COUNTIFS(Preguntas!$B$2:$B$263,$B9,Preguntas!$E$2:$E$263,"Sí")</f>
        <v>0</v>
      </c>
      <c r="G9" s="17" t="n">
        <f aca="false">COUNTIFS(Preguntas!$B$2:$B$263,$B9,Preguntas!$E$2:$E$263,"No")</f>
        <v>0</v>
      </c>
      <c r="H9" s="17" t="n">
        <f aca="false">COUNTIFS(Preguntas!$B$2:$B$263,$B9,Preguntas!$E$2:$E$263,"N/A")</f>
        <v>0</v>
      </c>
      <c r="I9" s="17" t="n">
        <f aca="false">$E9-SUM($F9:$H9)</f>
        <v>15</v>
      </c>
      <c r="J9" s="20" t="n">
        <f aca="false">IFERROR(SUM($F9:$H9)/$E9,0)</f>
        <v>0</v>
      </c>
    </row>
    <row r="10" customFormat="false" ht="25.5" hidden="false" customHeight="true" outlineLevel="0" collapsed="false">
      <c r="A10" s="17" t="n">
        <v>6</v>
      </c>
      <c r="B10" s="18" t="s">
        <v>333</v>
      </c>
      <c r="C10" s="19" t="s">
        <v>590</v>
      </c>
      <c r="D10" s="17" t="n">
        <f aca="false">'Ranking mini QAW'!$F10</f>
        <v>23</v>
      </c>
      <c r="E10" s="17" t="n">
        <f aca="false">COUNTIF(Preguntas!$B$2:$B$263,$B10)</f>
        <v>16</v>
      </c>
      <c r="F10" s="17" t="n">
        <f aca="false">COUNTIFS(Preguntas!$B$2:$B$263,$B10,Preguntas!$E$2:$E$263,"Sí")</f>
        <v>0</v>
      </c>
      <c r="G10" s="17" t="n">
        <f aca="false">COUNTIFS(Preguntas!$B$2:$B$263,$B10,Preguntas!$E$2:$E$263,"No")</f>
        <v>0</v>
      </c>
      <c r="H10" s="17" t="n">
        <f aca="false">COUNTIFS(Preguntas!$B$2:$B$263,$B10,Preguntas!$E$2:$E$263,"N/A")</f>
        <v>0</v>
      </c>
      <c r="I10" s="17" t="n">
        <f aca="false">$E10-SUM($F10:$H10)</f>
        <v>16</v>
      </c>
      <c r="J10" s="20" t="n">
        <f aca="false">IFERROR(SUM($F10:$H10)/$E10,0)</f>
        <v>0</v>
      </c>
    </row>
    <row r="11" customFormat="false" ht="25.5" hidden="false" customHeight="true" outlineLevel="0" collapsed="false">
      <c r="A11" s="17" t="n">
        <v>7</v>
      </c>
      <c r="B11" s="18" t="s">
        <v>366</v>
      </c>
      <c r="C11" s="19" t="s">
        <v>591</v>
      </c>
      <c r="D11" s="17" t="n">
        <f aca="false">'Ranking mini QAW'!$F11</f>
        <v>24</v>
      </c>
      <c r="E11" s="17" t="n">
        <f aca="false">COUNTIF(Preguntas!$B$2:$B$263,$B11)</f>
        <v>18</v>
      </c>
      <c r="F11" s="17" t="n">
        <f aca="false">COUNTIFS(Preguntas!$B$2:$B$263,$B11,Preguntas!$E$2:$E$263,"Sí")</f>
        <v>0</v>
      </c>
      <c r="G11" s="17" t="n">
        <f aca="false">COUNTIFS(Preguntas!$B$2:$B$263,$B11,Preguntas!$E$2:$E$263,"No")</f>
        <v>0</v>
      </c>
      <c r="H11" s="17" t="n">
        <f aca="false">COUNTIFS(Preguntas!$B$2:$B$263,$B11,Preguntas!$E$2:$E$263,"N/A")</f>
        <v>0</v>
      </c>
      <c r="I11" s="17" t="n">
        <f aca="false">$E11-SUM($F11:$H11)</f>
        <v>18</v>
      </c>
      <c r="J11" s="20" t="n">
        <f aca="false">IFERROR(SUM($F11:$H11)/$E11,0)</f>
        <v>0</v>
      </c>
    </row>
    <row r="12" customFormat="false" ht="25.5" hidden="false" customHeight="true" outlineLevel="0" collapsed="false">
      <c r="A12" s="17" t="n">
        <v>8</v>
      </c>
      <c r="B12" s="18" t="s">
        <v>403</v>
      </c>
      <c r="C12" s="19" t="s">
        <v>592</v>
      </c>
      <c r="D12" s="17" t="n">
        <f aca="false">'Ranking mini QAW'!$F12</f>
        <v>24</v>
      </c>
      <c r="E12" s="17" t="n">
        <f aca="false">COUNTIF(Preguntas!$B$2:$B$263,$B12)</f>
        <v>19</v>
      </c>
      <c r="F12" s="17" t="n">
        <f aca="false">COUNTIFS(Preguntas!$B$2:$B$263,$B12,Preguntas!$E$2:$E$263,"Sí")</f>
        <v>0</v>
      </c>
      <c r="G12" s="17" t="n">
        <f aca="false">COUNTIFS(Preguntas!$B$2:$B$263,$B12,Preguntas!$E$2:$E$263,"No")</f>
        <v>0</v>
      </c>
      <c r="H12" s="17" t="n">
        <f aca="false">COUNTIFS(Preguntas!$B$2:$B$263,$B12,Preguntas!$E$2:$E$263,"N/A")</f>
        <v>0</v>
      </c>
      <c r="I12" s="17" t="n">
        <f aca="false">$E12-SUM($F12:$H12)</f>
        <v>19</v>
      </c>
      <c r="J12" s="20" t="n">
        <f aca="false">IFERROR(SUM($F12:$H12)/$E12,0)</f>
        <v>0</v>
      </c>
    </row>
    <row r="13" customFormat="false" ht="25.5" hidden="false" customHeight="true" outlineLevel="0" collapsed="false">
      <c r="A13" s="17" t="n">
        <v>9</v>
      </c>
      <c r="B13" s="18" t="s">
        <v>442</v>
      </c>
      <c r="C13" s="19" t="s">
        <v>593</v>
      </c>
      <c r="D13" s="17" t="n">
        <f aca="false">'Ranking mini QAW'!$F13</f>
        <v>25</v>
      </c>
      <c r="E13" s="17" t="n">
        <f aca="false">COUNTIF(Preguntas!$B$2:$B$263,$B13)</f>
        <v>13</v>
      </c>
      <c r="F13" s="17" t="n">
        <f aca="false">COUNTIFS(Preguntas!$B$2:$B$263,$B13,Preguntas!$E$2:$E$263,"Sí")</f>
        <v>0</v>
      </c>
      <c r="G13" s="17" t="n">
        <f aca="false">COUNTIFS(Preguntas!$B$2:$B$263,$B13,Preguntas!$E$2:$E$263,"No")</f>
        <v>0</v>
      </c>
      <c r="H13" s="17" t="n">
        <f aca="false">COUNTIFS(Preguntas!$B$2:$B$263,$B13,Preguntas!$E$2:$E$263,"N/A")</f>
        <v>0</v>
      </c>
      <c r="I13" s="17" t="n">
        <f aca="false">$E13-SUM($F13:$H13)</f>
        <v>13</v>
      </c>
      <c r="J13" s="20" t="n">
        <f aca="false">IFERROR(SUM($F13:$H13)/$E13,0)</f>
        <v>0</v>
      </c>
    </row>
    <row r="14" customFormat="false" ht="25.5" hidden="false" customHeight="true" outlineLevel="0" collapsed="false">
      <c r="A14" s="17" t="n">
        <v>10</v>
      </c>
      <c r="B14" s="18" t="s">
        <v>469</v>
      </c>
      <c r="C14" s="19" t="s">
        <v>594</v>
      </c>
      <c r="D14" s="17" t="n">
        <f aca="false">'Ranking mini QAW'!$F14</f>
        <v>25</v>
      </c>
      <c r="E14" s="17" t="n">
        <f aca="false">COUNTIF(Preguntas!$B$2:$B$263,$B14)</f>
        <v>11</v>
      </c>
      <c r="F14" s="17" t="n">
        <f aca="false">COUNTIFS(Preguntas!$B$2:$B$263,$B14,Preguntas!$E$2:$E$263,"Sí")</f>
        <v>0</v>
      </c>
      <c r="G14" s="17" t="n">
        <f aca="false">COUNTIFS(Preguntas!$B$2:$B$263,$B14,Preguntas!$E$2:$E$263,"No")</f>
        <v>0</v>
      </c>
      <c r="H14" s="17" t="n">
        <f aca="false">COUNTIFS(Preguntas!$B$2:$B$263,$B14,Preguntas!$E$2:$E$263,"N/A")</f>
        <v>0</v>
      </c>
      <c r="I14" s="17" t="n">
        <f aca="false">$E14-SUM($F14:$H14)</f>
        <v>11</v>
      </c>
      <c r="J14" s="20" t="n">
        <f aca="false">IFERROR(SUM($F14:$H14)/$E14,0)</f>
        <v>0</v>
      </c>
    </row>
    <row r="15" customFormat="false" ht="25.5" hidden="false" customHeight="true" outlineLevel="0" collapsed="false">
      <c r="A15" s="17" t="n">
        <v>11</v>
      </c>
      <c r="B15" s="18" t="s">
        <v>492</v>
      </c>
      <c r="C15" s="19" t="s">
        <v>595</v>
      </c>
      <c r="D15" s="17" t="n">
        <f aca="false">'Ranking mini QAW'!$F15</f>
        <v>27</v>
      </c>
      <c r="E15" s="17" t="n">
        <f aca="false">COUNTIF(Preguntas!$B$2:$B$263,$B15)</f>
        <v>13</v>
      </c>
      <c r="F15" s="17" t="n">
        <f aca="false">COUNTIFS(Preguntas!$B$2:$B$263,$B15,Preguntas!$E$2:$E$263,"Sí")</f>
        <v>0</v>
      </c>
      <c r="G15" s="17" t="n">
        <f aca="false">COUNTIFS(Preguntas!$B$2:$B$263,$B15,Preguntas!$E$2:$E$263,"No")</f>
        <v>0</v>
      </c>
      <c r="H15" s="17" t="n">
        <f aca="false">COUNTIFS(Preguntas!$B$2:$B$263,$B15,Preguntas!$E$2:$E$263,"N/A")</f>
        <v>0</v>
      </c>
      <c r="I15" s="17" t="n">
        <f aca="false">$E15-SUM($F15:$H15)</f>
        <v>13</v>
      </c>
      <c r="J15" s="20" t="n">
        <f aca="false">IFERROR(SUM($F15:$H15)/$E15,0)</f>
        <v>0</v>
      </c>
    </row>
    <row r="16" customFormat="false" ht="25.5" hidden="false" customHeight="true" outlineLevel="0" collapsed="false">
      <c r="A16" s="17" t="n">
        <v>12</v>
      </c>
      <c r="B16" s="18" t="s">
        <v>519</v>
      </c>
      <c r="C16" s="19" t="s">
        <v>596</v>
      </c>
      <c r="D16" s="17" t="n">
        <f aca="false">'Ranking mini QAW'!$F16</f>
        <v>28</v>
      </c>
      <c r="E16" s="17" t="n">
        <f aca="false">COUNTIF(Preguntas!$B$2:$B$263,$B16)</f>
        <v>13</v>
      </c>
      <c r="F16" s="17" t="n">
        <f aca="false">COUNTIFS(Preguntas!$B$2:$B$263,$B16,Preguntas!$E$2:$E$263,"Sí")</f>
        <v>0</v>
      </c>
      <c r="G16" s="17" t="n">
        <f aca="false">COUNTIFS(Preguntas!$B$2:$B$263,$B16,Preguntas!$E$2:$E$263,"No")</f>
        <v>0</v>
      </c>
      <c r="H16" s="17" t="n">
        <f aca="false">COUNTIFS(Preguntas!$B$2:$B$263,$B16,Preguntas!$E$2:$E$263,"N/A")</f>
        <v>0</v>
      </c>
      <c r="I16" s="17" t="n">
        <f aca="false">$E16-SUM($F16:$H16)</f>
        <v>13</v>
      </c>
      <c r="J16" s="20" t="n">
        <f aca="false">IFERROR(SUM($F16:$H16)/$E16,0)</f>
        <v>0</v>
      </c>
    </row>
    <row r="17" customFormat="false" ht="25.5" hidden="false" customHeight="true" outlineLevel="0" collapsed="false">
      <c r="A17" s="17" t="n">
        <v>13</v>
      </c>
      <c r="B17" s="18" t="s">
        <v>546</v>
      </c>
      <c r="C17" s="19" t="s">
        <v>597</v>
      </c>
      <c r="D17" s="17" t="n">
        <f aca="false">'Ranking mini QAW'!$F17</f>
        <v>30</v>
      </c>
      <c r="E17" s="17" t="n">
        <f aca="false">COUNTIF(Preguntas!$B$2:$B$263,$B17)</f>
        <v>11</v>
      </c>
      <c r="F17" s="17" t="n">
        <f aca="false">COUNTIFS(Preguntas!$B$2:$B$263,$B17,Preguntas!$E$2:$E$263,"Sí")</f>
        <v>0</v>
      </c>
      <c r="G17" s="17" t="n">
        <f aca="false">COUNTIFS(Preguntas!$B$2:$B$263,$B17,Preguntas!$E$2:$E$263,"No")</f>
        <v>0</v>
      </c>
      <c r="H17" s="17" t="n">
        <f aca="false">COUNTIFS(Preguntas!$B$2:$B$263,$B17,Preguntas!$E$2:$E$263,"N/A")</f>
        <v>0</v>
      </c>
      <c r="I17" s="17" t="n">
        <f aca="false">$E17-SUM($F17:$H17)</f>
        <v>11</v>
      </c>
      <c r="J17" s="20" t="n">
        <f aca="false">IFERROR(SUM($F17:$H17)/$E17,0)</f>
        <v>0</v>
      </c>
    </row>
    <row r="18" customFormat="false" ht="23.85" hidden="false" customHeight="false" outlineLevel="0" collapsed="false">
      <c r="A18" s="21"/>
      <c r="B18" s="18" t="s">
        <v>569</v>
      </c>
      <c r="C18" s="19" t="s">
        <v>598</v>
      </c>
      <c r="D18" s="17"/>
      <c r="E18" s="17" t="n">
        <f aca="false">COUNTIF(Preguntas!$B$2:$B$263,$B18)</f>
        <v>3</v>
      </c>
      <c r="F18" s="17" t="n">
        <f aca="false">COUNTIFS(Preguntas!$B$2:$B$263,$B18,Preguntas!$E$2:$E$263,"Sí")</f>
        <v>0</v>
      </c>
      <c r="G18" s="17" t="n">
        <f aca="false">COUNTIFS(Preguntas!$B$2:$B$263,$B18,Preguntas!$E$2:$E$263,"No")</f>
        <v>0</v>
      </c>
      <c r="H18" s="17" t="n">
        <f aca="false">COUNTIFS(Preguntas!$B$2:$B$263,$B18,Preguntas!$E$2:$E$263,"N/A")</f>
        <v>0</v>
      </c>
      <c r="I18" s="17" t="n">
        <f aca="false">$E18-SUM($F18:$H18)</f>
        <v>3</v>
      </c>
      <c r="J18" s="20" t="n">
        <f aca="false">IFERROR(SUM($F18:$H18)/$E18,0)</f>
        <v>0</v>
      </c>
    </row>
    <row r="19" customFormat="false" ht="15" hidden="false" customHeight="false" outlineLevel="0" collapsed="false">
      <c r="A19" s="22"/>
      <c r="B19" s="23" t="s">
        <v>599</v>
      </c>
      <c r="C19" s="22"/>
      <c r="D19" s="22"/>
      <c r="E19" s="24" t="n">
        <f aca="false">SUM(E5:E18)</f>
        <v>262</v>
      </c>
      <c r="F19" s="24" t="n">
        <f aca="false">SUM(F5:F18)</f>
        <v>0</v>
      </c>
      <c r="G19" s="24" t="n">
        <f aca="false">SUM(G5:G18)</f>
        <v>0</v>
      </c>
      <c r="H19" s="24" t="n">
        <f aca="false">SUM(H5:H18)</f>
        <v>0</v>
      </c>
      <c r="I19" s="24" t="n">
        <f aca="false">SUM(I5:I18)</f>
        <v>262</v>
      </c>
      <c r="J19" s="25" t="n">
        <f aca="false">IFERROR(SUM($F19:$H19)/$E19,0)</f>
        <v>0</v>
      </c>
    </row>
    <row r="21" customFormat="false" ht="30" hidden="false" customHeight="true" outlineLevel="0" collapsed="false">
      <c r="A21" s="26" t="s">
        <v>600</v>
      </c>
      <c r="B21" s="26"/>
      <c r="C21" s="26"/>
      <c r="D21" s="26"/>
      <c r="E21" s="26"/>
      <c r="F21" s="26"/>
      <c r="G21" s="26"/>
      <c r="H21" s="26"/>
      <c r="I21" s="26"/>
      <c r="J21" s="26"/>
    </row>
  </sheetData>
  <mergeCells count="1">
    <mergeCell ref="A21:J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2"/>
    <col collapsed="false" customWidth="true" hidden="false" outlineLevel="0" max="3" min="3" style="0" width="20"/>
    <col collapsed="false" customWidth="true" hidden="false" outlineLevel="0" max="4" min="4" style="0" width="22"/>
    <col collapsed="false" customWidth="true" hidden="false" outlineLevel="0" max="5" min="5" style="0" width="24"/>
    <col collapsed="false" customWidth="true" hidden="false" outlineLevel="0" max="6" min="6" style="0" width="10"/>
    <col collapsed="false" customWidth="true" hidden="false" outlineLevel="0" max="7" min="7" style="0" width="12"/>
  </cols>
  <sheetData>
    <row r="1" customFormat="false" ht="17.35" hidden="false" customHeight="false" outlineLevel="0" collapsed="false">
      <c r="A1" s="15" t="s">
        <v>601</v>
      </c>
    </row>
    <row r="2" customFormat="false" ht="15" hidden="false" customHeight="false" outlineLevel="0" collapsed="false">
      <c r="A2" s="16" t="s">
        <v>602</v>
      </c>
    </row>
    <row r="4" customFormat="false" ht="15" hidden="false" customHeight="false" outlineLevel="0" collapsed="false">
      <c r="A4" s="6" t="s">
        <v>577</v>
      </c>
      <c r="B4" s="6" t="s">
        <v>21</v>
      </c>
      <c r="C4" s="6" t="s">
        <v>603</v>
      </c>
      <c r="D4" s="6" t="s">
        <v>604</v>
      </c>
      <c r="E4" s="6" t="s">
        <v>605</v>
      </c>
      <c r="F4" s="6" t="s">
        <v>606</v>
      </c>
      <c r="G4" s="6" t="s">
        <v>607</v>
      </c>
    </row>
    <row r="5" customFormat="false" ht="15" hidden="false" customHeight="false" outlineLevel="0" collapsed="false">
      <c r="A5" s="17" t="n">
        <v>1</v>
      </c>
      <c r="B5" s="18" t="s">
        <v>27</v>
      </c>
      <c r="C5" s="17" t="n">
        <v>1</v>
      </c>
      <c r="D5" s="17" t="n">
        <v>1</v>
      </c>
      <c r="E5" s="17" t="n">
        <v>1</v>
      </c>
      <c r="F5" s="17" t="n">
        <f aca="false">SUM(C5:E5)</f>
        <v>3</v>
      </c>
      <c r="G5" s="27" t="n">
        <f aca="false">IFERROR($F5/$F$18,0)</f>
        <v>0.010989010989011</v>
      </c>
    </row>
    <row r="6" customFormat="false" ht="15" hidden="false" customHeight="false" outlineLevel="0" collapsed="false">
      <c r="A6" s="17" t="n">
        <v>2</v>
      </c>
      <c r="B6" s="18" t="s">
        <v>151</v>
      </c>
      <c r="C6" s="17" t="n">
        <v>2</v>
      </c>
      <c r="D6" s="17" t="n">
        <v>2</v>
      </c>
      <c r="E6" s="17" t="n">
        <v>7</v>
      </c>
      <c r="F6" s="17" t="n">
        <f aca="false">SUM(C6:E6)</f>
        <v>11</v>
      </c>
      <c r="G6" s="27" t="n">
        <f aca="false">IFERROR($F6/$F$18,0)</f>
        <v>0.0402930402930403</v>
      </c>
    </row>
    <row r="7" customFormat="false" ht="15" hidden="false" customHeight="false" outlineLevel="0" collapsed="false">
      <c r="A7" s="17" t="n">
        <v>3</v>
      </c>
      <c r="B7" s="18" t="s">
        <v>192</v>
      </c>
      <c r="C7" s="17" t="n">
        <v>3</v>
      </c>
      <c r="D7" s="17" t="n">
        <v>5</v>
      </c>
      <c r="E7" s="17" t="n">
        <v>9</v>
      </c>
      <c r="F7" s="17" t="n">
        <f aca="false">SUM(C7:E7)</f>
        <v>17</v>
      </c>
      <c r="G7" s="27" t="n">
        <f aca="false">IFERROR($F7/$F$18,0)</f>
        <v>0.0622710622710623</v>
      </c>
    </row>
    <row r="8" customFormat="false" ht="15" hidden="false" customHeight="false" outlineLevel="0" collapsed="false">
      <c r="A8" s="17" t="n">
        <v>4</v>
      </c>
      <c r="B8" s="18" t="s">
        <v>235</v>
      </c>
      <c r="C8" s="17" t="n">
        <v>9</v>
      </c>
      <c r="D8" s="17" t="n">
        <v>4</v>
      </c>
      <c r="E8" s="17" t="n">
        <v>4</v>
      </c>
      <c r="F8" s="17" t="n">
        <f aca="false">SUM(C8:E8)</f>
        <v>17</v>
      </c>
      <c r="G8" s="27" t="n">
        <f aca="false">IFERROR($F8/$F$18,0)</f>
        <v>0.0622710622710623</v>
      </c>
    </row>
    <row r="9" customFormat="false" ht="15" hidden="false" customHeight="false" outlineLevel="0" collapsed="false">
      <c r="A9" s="17" t="n">
        <v>5</v>
      </c>
      <c r="B9" s="18" t="s">
        <v>302</v>
      </c>
      <c r="C9" s="17" t="n">
        <v>11</v>
      </c>
      <c r="D9" s="17" t="n">
        <v>3</v>
      </c>
      <c r="E9" s="17" t="n">
        <v>5</v>
      </c>
      <c r="F9" s="17" t="n">
        <f aca="false">SUM(C9:E9)</f>
        <v>19</v>
      </c>
      <c r="G9" s="27" t="n">
        <f aca="false">IFERROR($F9/$F$18,0)</f>
        <v>0.0695970695970696</v>
      </c>
    </row>
    <row r="10" customFormat="false" ht="15" hidden="false" customHeight="false" outlineLevel="0" collapsed="false">
      <c r="A10" s="17" t="n">
        <v>6</v>
      </c>
      <c r="B10" s="18" t="s">
        <v>333</v>
      </c>
      <c r="C10" s="17" t="n">
        <v>13</v>
      </c>
      <c r="D10" s="17" t="n">
        <v>7</v>
      </c>
      <c r="E10" s="17" t="n">
        <v>3</v>
      </c>
      <c r="F10" s="17" t="n">
        <f aca="false">SUM(C10:E10)</f>
        <v>23</v>
      </c>
      <c r="G10" s="27" t="n">
        <f aca="false">IFERROR($F10/$F$18,0)</f>
        <v>0.0842490842490843</v>
      </c>
    </row>
    <row r="11" customFormat="false" ht="15" hidden="false" customHeight="false" outlineLevel="0" collapsed="false">
      <c r="A11" s="17" t="n">
        <v>7</v>
      </c>
      <c r="B11" s="18" t="s">
        <v>366</v>
      </c>
      <c r="C11" s="17" t="n">
        <v>6</v>
      </c>
      <c r="D11" s="17" t="n">
        <v>6</v>
      </c>
      <c r="E11" s="17" t="n">
        <v>12</v>
      </c>
      <c r="F11" s="17" t="n">
        <f aca="false">SUM(C11:E11)</f>
        <v>24</v>
      </c>
      <c r="G11" s="27" t="n">
        <f aca="false">IFERROR($F11/$F$18,0)</f>
        <v>0.0879120879120879</v>
      </c>
    </row>
    <row r="12" customFormat="false" ht="15" hidden="false" customHeight="false" outlineLevel="0" collapsed="false">
      <c r="A12" s="17" t="n">
        <v>8</v>
      </c>
      <c r="B12" s="18" t="s">
        <v>403</v>
      </c>
      <c r="C12" s="17" t="n">
        <v>10</v>
      </c>
      <c r="D12" s="17" t="n">
        <v>8</v>
      </c>
      <c r="E12" s="17" t="n">
        <v>6</v>
      </c>
      <c r="F12" s="17" t="n">
        <f aca="false">SUM(C12:E12)</f>
        <v>24</v>
      </c>
      <c r="G12" s="27" t="n">
        <f aca="false">IFERROR($F12/$F$18,0)</f>
        <v>0.0879120879120879</v>
      </c>
    </row>
    <row r="13" customFormat="false" ht="15" hidden="false" customHeight="false" outlineLevel="0" collapsed="false">
      <c r="A13" s="17" t="n">
        <v>9</v>
      </c>
      <c r="B13" s="18" t="s">
        <v>442</v>
      </c>
      <c r="C13" s="17" t="n">
        <v>5</v>
      </c>
      <c r="D13" s="17" t="n">
        <v>10</v>
      </c>
      <c r="E13" s="17" t="n">
        <v>10</v>
      </c>
      <c r="F13" s="17" t="n">
        <f aca="false">SUM(C13:E13)</f>
        <v>25</v>
      </c>
      <c r="G13" s="27" t="n">
        <f aca="false">IFERROR($F13/$F$18,0)</f>
        <v>0.0915750915750916</v>
      </c>
    </row>
    <row r="14" customFormat="false" ht="15" hidden="false" customHeight="false" outlineLevel="0" collapsed="false">
      <c r="A14" s="17" t="n">
        <v>10</v>
      </c>
      <c r="B14" s="18" t="s">
        <v>469</v>
      </c>
      <c r="C14" s="17" t="n">
        <v>8</v>
      </c>
      <c r="D14" s="17" t="n">
        <v>9</v>
      </c>
      <c r="E14" s="17" t="n">
        <v>8</v>
      </c>
      <c r="F14" s="17" t="n">
        <f aca="false">SUM(C14:E14)</f>
        <v>25</v>
      </c>
      <c r="G14" s="27" t="n">
        <f aca="false">IFERROR($F14/$F$18,0)</f>
        <v>0.0915750915750916</v>
      </c>
    </row>
    <row r="15" customFormat="false" ht="15" hidden="false" customHeight="false" outlineLevel="0" collapsed="false">
      <c r="A15" s="17" t="n">
        <v>11</v>
      </c>
      <c r="B15" s="18" t="s">
        <v>492</v>
      </c>
      <c r="C15" s="17" t="n">
        <v>12</v>
      </c>
      <c r="D15" s="17" t="n">
        <v>13</v>
      </c>
      <c r="E15" s="17" t="n">
        <v>2</v>
      </c>
      <c r="F15" s="17" t="n">
        <f aca="false">SUM(C15:E15)</f>
        <v>27</v>
      </c>
      <c r="G15" s="27" t="n">
        <f aca="false">IFERROR($F15/$F$18,0)</f>
        <v>0.0989010989010989</v>
      </c>
    </row>
    <row r="16" customFormat="false" ht="15" hidden="false" customHeight="false" outlineLevel="0" collapsed="false">
      <c r="A16" s="17" t="n">
        <v>12</v>
      </c>
      <c r="B16" s="18" t="s">
        <v>519</v>
      </c>
      <c r="C16" s="17" t="n">
        <v>4</v>
      </c>
      <c r="D16" s="17" t="n">
        <v>11</v>
      </c>
      <c r="E16" s="17" t="n">
        <v>13</v>
      </c>
      <c r="F16" s="17" t="n">
        <f aca="false">SUM(C16:E16)</f>
        <v>28</v>
      </c>
      <c r="G16" s="27" t="n">
        <f aca="false">IFERROR($F16/$F$18,0)</f>
        <v>0.102564102564103</v>
      </c>
    </row>
    <row r="17" customFormat="false" ht="15" hidden="false" customHeight="false" outlineLevel="0" collapsed="false">
      <c r="A17" s="17" t="n">
        <v>13</v>
      </c>
      <c r="B17" s="18" t="s">
        <v>546</v>
      </c>
      <c r="C17" s="17" t="n">
        <v>7</v>
      </c>
      <c r="D17" s="17" t="n">
        <v>12</v>
      </c>
      <c r="E17" s="17" t="n">
        <v>11</v>
      </c>
      <c r="F17" s="17" t="n">
        <f aca="false">SUM(C17:E17)</f>
        <v>30</v>
      </c>
      <c r="G17" s="27" t="n">
        <f aca="false">IFERROR($F17/$F$18,0)</f>
        <v>0.10989010989011</v>
      </c>
    </row>
    <row r="18" customFormat="false" ht="15" hidden="false" customHeight="false" outlineLevel="0" collapsed="false">
      <c r="A18" s="22"/>
      <c r="B18" s="23" t="s">
        <v>599</v>
      </c>
      <c r="C18" s="24" t="n">
        <f aca="false">SUM(C5:C17)</f>
        <v>91</v>
      </c>
      <c r="D18" s="24" t="n">
        <f aca="false">SUM(D5:D17)</f>
        <v>91</v>
      </c>
      <c r="E18" s="24" t="n">
        <f aca="false">SUM(E5:E17)</f>
        <v>91</v>
      </c>
      <c r="F18" s="24" t="n">
        <f aca="false">SUM(F5:F17)</f>
        <v>273</v>
      </c>
      <c r="G18" s="28" t="n">
        <f aca="false">IFERROR($F18/$F18,0)</f>
        <v>1</v>
      </c>
    </row>
    <row r="20" customFormat="false" ht="15.75" hidden="false" customHeight="true" outlineLevel="0" collapsed="false">
      <c r="A20" s="26" t="s">
        <v>608</v>
      </c>
      <c r="B20" s="26"/>
      <c r="C20" s="26"/>
      <c r="D20" s="26"/>
      <c r="E20" s="26"/>
      <c r="F20" s="26"/>
      <c r="G20" s="26"/>
    </row>
    <row r="21" customFormat="false" ht="15.75" hidden="false" customHeight="true" outlineLevel="0" collapsed="false">
      <c r="A21" s="26" t="s">
        <v>609</v>
      </c>
      <c r="B21" s="26"/>
      <c r="C21" s="26"/>
      <c r="D21" s="26"/>
      <c r="E21" s="26"/>
      <c r="F21" s="26"/>
      <c r="G21" s="26"/>
    </row>
    <row r="22" customFormat="false" ht="15.75" hidden="false" customHeight="true" outlineLevel="0" collapsed="false">
      <c r="A22" s="26" t="s">
        <v>610</v>
      </c>
      <c r="B22" s="26"/>
      <c r="C22" s="26"/>
      <c r="D22" s="26"/>
      <c r="E22" s="26"/>
      <c r="F22" s="26"/>
      <c r="G22" s="26"/>
    </row>
  </sheetData>
  <mergeCells count="3">
    <mergeCell ref="A20:G20"/>
    <mergeCell ref="A21:G21"/>
    <mergeCell ref="A22:G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2"/>
  </cols>
  <sheetData>
    <row r="1" customFormat="false" ht="15" hidden="false" customHeight="false" outlineLevel="0" collapsed="false">
      <c r="A1" s="29" t="s">
        <v>24</v>
      </c>
      <c r="B1" s="29" t="s">
        <v>21</v>
      </c>
    </row>
    <row r="2" customFormat="false" ht="15" hidden="false" customHeight="false" outlineLevel="0" collapsed="false">
      <c r="A2" s="30" t="s">
        <v>30</v>
      </c>
      <c r="B2" s="30" t="s">
        <v>27</v>
      </c>
    </row>
    <row r="3" customFormat="false" ht="15" hidden="false" customHeight="false" outlineLevel="0" collapsed="false">
      <c r="A3" s="30" t="s">
        <v>581</v>
      </c>
      <c r="B3" s="30" t="s">
        <v>151</v>
      </c>
    </row>
    <row r="4" customFormat="false" ht="15" hidden="false" customHeight="false" outlineLevel="0" collapsed="false">
      <c r="A4" s="30" t="s">
        <v>582</v>
      </c>
      <c r="B4" s="30" t="s">
        <v>192</v>
      </c>
    </row>
    <row r="5" customFormat="false" ht="15" hidden="false" customHeight="false" outlineLevel="0" collapsed="false">
      <c r="B5" s="30" t="s">
        <v>235</v>
      </c>
    </row>
    <row r="6" customFormat="false" ht="15" hidden="false" customHeight="false" outlineLevel="0" collapsed="false">
      <c r="B6" s="30" t="s">
        <v>302</v>
      </c>
    </row>
    <row r="7" customFormat="false" ht="15" hidden="false" customHeight="false" outlineLevel="0" collapsed="false">
      <c r="B7" s="30" t="s">
        <v>333</v>
      </c>
    </row>
    <row r="8" customFormat="false" ht="15" hidden="false" customHeight="false" outlineLevel="0" collapsed="false">
      <c r="B8" s="30" t="s">
        <v>366</v>
      </c>
    </row>
    <row r="9" customFormat="false" ht="15" hidden="false" customHeight="false" outlineLevel="0" collapsed="false">
      <c r="B9" s="30" t="s">
        <v>403</v>
      </c>
    </row>
    <row r="10" customFormat="false" ht="15" hidden="false" customHeight="false" outlineLevel="0" collapsed="false">
      <c r="B10" s="30" t="s">
        <v>442</v>
      </c>
    </row>
    <row r="11" customFormat="false" ht="15" hidden="false" customHeight="false" outlineLevel="0" collapsed="false">
      <c r="B11" s="30" t="s">
        <v>469</v>
      </c>
    </row>
    <row r="12" customFormat="false" ht="15" hidden="false" customHeight="false" outlineLevel="0" collapsed="false">
      <c r="B12" s="30" t="s">
        <v>492</v>
      </c>
    </row>
    <row r="13" customFormat="false" ht="15" hidden="false" customHeight="false" outlineLevel="0" collapsed="false">
      <c r="B13" s="30" t="s">
        <v>519</v>
      </c>
    </row>
    <row r="14" customFormat="false" ht="15" hidden="false" customHeight="false" outlineLevel="0" collapsed="false">
      <c r="B14" s="30" t="s">
        <v>546</v>
      </c>
    </row>
    <row r="15" customFormat="false" ht="15" hidden="false" customHeight="false" outlineLevel="0" collapsed="false">
      <c r="B15" s="30" t="s">
        <v>569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2026-08-21T18:41:09Z</dcterms:created>
  <dc:creator>openpyxl</dc:creator>
  <dc:description/>
  <dc:language>en-US</dc:language>
  <cp:lastModifiedBy/>
  <dcterms:modified xsi:type="dcterms:W3CDTF">2026-08-21T18:41:09Z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