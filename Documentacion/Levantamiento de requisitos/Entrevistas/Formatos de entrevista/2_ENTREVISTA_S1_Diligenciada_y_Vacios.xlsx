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fa00507a02a31d0/Escritorio/"/>
    </mc:Choice>
  </mc:AlternateContent>
  <xr:revisionPtr revIDLastSave="92" documentId="11_EB552E4FC2B05A8E14DB3F7FAAF6E87B82622B5B" xr6:coauthVersionLast="47" xr6:coauthVersionMax="47" xr10:uidLastSave="{272357FE-590C-470B-B1F2-7E8C394359C9}"/>
  <bookViews>
    <workbookView xWindow="-108" yWindow="-108" windowWidth="23256" windowHeight="12456" activeTab="1" xr2:uid="{00000000-000D-0000-FFFF-FFFF00000000}"/>
  </bookViews>
  <sheets>
    <sheet name="Como leer" sheetId="1" r:id="rId1"/>
    <sheet name="Entrevista S1" sheetId="2" r:id="rId2"/>
    <sheet name="Calificacion por bloque" sheetId="3" r:id="rId3"/>
  </sheets>
  <definedNames>
    <definedName name="_xlnm._FilterDatabase" localSheetId="1" hidden="1">'Entrevista S1'!$A$4:$L$50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3" l="1"/>
  <c r="C21" i="3"/>
  <c r="C20" i="3"/>
  <c r="C19" i="3"/>
  <c r="C18" i="3"/>
  <c r="C17" i="3"/>
  <c r="C16" i="3"/>
  <c r="D13" i="3"/>
  <c r="E13" i="3" s="1"/>
  <c r="C13" i="3"/>
  <c r="D12" i="3"/>
  <c r="E12" i="3" s="1"/>
  <c r="C12" i="3"/>
  <c r="D11" i="3"/>
  <c r="E11" i="3" s="1"/>
  <c r="C11" i="3"/>
  <c r="D10" i="3"/>
  <c r="E10" i="3" s="1"/>
  <c r="C10" i="3"/>
  <c r="D9" i="3"/>
  <c r="E9" i="3" s="1"/>
  <c r="C9" i="3"/>
  <c r="D8" i="3"/>
  <c r="E8" i="3" s="1"/>
  <c r="C8" i="3"/>
  <c r="D7" i="3"/>
  <c r="E7" i="3" s="1"/>
  <c r="C7" i="3"/>
  <c r="D6" i="3"/>
  <c r="E6" i="3" s="1"/>
  <c r="C6" i="3"/>
</calcChain>
</file>

<file path=xl/sharedStrings.xml><?xml version="1.0" encoding="utf-8"?>
<sst xmlns="http://schemas.openxmlformats.org/spreadsheetml/2006/main" count="1080" uniqueCount="341">
  <si>
    <t>Entrevista sesion 1 - Finca de flores - Director de produccion</t>
  </si>
  <si>
    <t>Respuestas tal como se registraron, con el analisis de lo que falta pregunta por pregunta.</t>
  </si>
  <si>
    <t>Que hay en este archivo</t>
  </si>
  <si>
    <t>Entrevista S1</t>
  </si>
  <si>
    <t>Una fila por pregunta. A la izquierda lo que se pregunto y lo que respondio el cliente, sin editar. A la derecha, el analisis: en que estado quedo la respuesta, que falta exactamente, y el texto listo para volver a preguntarlo.</t>
  </si>
  <si>
    <t>Calificacion por bloque</t>
  </si>
  <si>
    <t>La calificacion del levantamiento recalculada desde las notas individuales de cada pregunta, en vez de por dimensiones. Se actualiza sola si cambias una nota.</t>
  </si>
  <si>
    <t>Como usar la columna 'Como volver a preguntarlo'</t>
  </si>
  <si>
    <t>Esta redactada para copiar</t>
  </si>
  <si>
    <t>El texto ya esta escrito como se lo dirias al cliente, en su tono. No lo reformules: mientras mas parezca una duda puntual y menos un cuestionario, mas facil es que te contesten.</t>
  </si>
  <si>
    <t>Una por mensaje</t>
  </si>
  <si>
    <t>Si mandas tres preguntas juntas por WhatsApp, te contestan la ultima. Manda maximo dos al dia.</t>
  </si>
  <si>
    <t>Siempre con salida facil</t>
  </si>
  <si>
    <t>Casi todas terminan ofreciendo un estimado o una opcion. Responder eligiendo cuesta mucho menos que responder explicando.</t>
  </si>
  <si>
    <t>Escala de las notas</t>
  </si>
  <si>
    <t>5 - Completa</t>
  </si>
  <si>
    <t>Responde lo que se pregunto, con datos verificables. No hay que volver sobre ella.</t>
  </si>
  <si>
    <t>4 - Completa con detalle menor</t>
  </si>
  <si>
    <t>Sirve para disenar. Falta un dato secundario que se cierra por mensaje.</t>
  </si>
  <si>
    <t>3 - Parcial</t>
  </si>
  <si>
    <t>Contesto una parte o se quedo en lo general. Hay que volver con una pregunta mas concreta.</t>
  </si>
  <si>
    <t>2 - Vaga o mal interpretada</t>
  </si>
  <si>
    <t>El cliente respondio otra cosa, o respondio sin datos. Casi siempre es culpa de como estaba formulada la pregunta.</t>
  </si>
  <si>
    <t>1 - Contradictoria</t>
  </si>
  <si>
    <t>Choca con otra respuesta de la misma entrevista. No se resuelve preguntando de nuevo: se verifica con un documento o en campo.</t>
  </si>
  <si>
    <t>0 - Sin responder</t>
  </si>
  <si>
    <t>Quedo en blanco. En este caso todo el bloque de cierre, que es lo mas urgente y lo mas facil de recuperar.</t>
  </si>
  <si>
    <t>Entrevista sesion 1 - respuestas y vacios</t>
  </si>
  <si>
    <t>Columnas A-D: lo registrado en la sesion, sin editar. Columnas E-J: analisis y accion. La columna H esta lista para copiar y enviar tal cual.</t>
  </si>
  <si>
    <t>ID</t>
  </si>
  <si>
    <t>Bloque</t>
  </si>
  <si>
    <t>Pregunta</t>
  </si>
  <si>
    <t>Respuesta del cliente</t>
  </si>
  <si>
    <t>Estado</t>
  </si>
  <si>
    <t>Nota /5</t>
  </si>
  <si>
    <t>Que falta o quedo mal interpretado</t>
  </si>
  <si>
    <t>Como volver a preguntarlo (listo para copiar)</t>
  </si>
  <si>
    <t>Prioridad</t>
  </si>
  <si>
    <t>Canal</t>
  </si>
  <si>
    <t>Seguimiento</t>
  </si>
  <si>
    <t>P01</t>
  </si>
  <si>
    <t>B0. Encuadre</t>
  </si>
  <si>
    <t>Presentacion: objetivo de la sesion, duracion, permiso para grabar y aclaracion de que hoy no hablaremos de tecnologia.</t>
  </si>
  <si>
    <t xml:space="preserve">Recolectar información para generar reportes e informes dentro de producción y ventas, estos informes deben ser presentados en BI spreadsheets, informes dínamico. </t>
  </si>
  <si>
    <t>Parcial</t>
  </si>
  <si>
    <t>No quedo registrado el encuadre en si (permiso de grabacion, tiempo disponible). Mas importante: la respuesta introduce 'BI, spreadsheets, informes dinamicos' sin definir nada. No se sabe que es un informe dinamico para el cliente, ni si eso vive en el PowerBI que ya tienen o seria algo nuevo. Es la ambiguedad de alcance mas cara del proyecto.</t>
  </si>
  <si>
    <t>Cuando dices informes dinamicos, me muestras uno que ya usen y uno que les gustaria tener? Eso saldria del PowerBI que ya tienen o seria algo nuevo dentro del sistema?</t>
  </si>
  <si>
    <t>Critica</t>
  </si>
  <si>
    <t>Reunion</t>
  </si>
  <si>
    <t>Abierto</t>
  </si>
  <si>
    <t>P02</t>
  </si>
  <si>
    <t>Cual es tu rol y desde cuando estas en la finca?</t>
  </si>
  <si>
    <t>El rol del usuario era director de producción: Responsabilidades: - Verifica que la información recolectada correcta - Ejecuta presupuesto de producción- Realiza el presupuesto de proyección y ventas, realiza el presupuesto de gastos de la empresa, y toma desiciones con base en la producción (Lo que se está cosechandoy cómo está creciendo).</t>
  </si>
  <si>
    <t>Responsabilidades claras y buen nivel de autoridad. Falta la antiguedad, que indica cuanto conocimiento tacito acumula, y quien decide cuando el no esta. Si todo el modelo de proyeccion vive en su cabeza, es un riesgo de dependencia clave.</t>
  </si>
  <si>
    <t>Cuanto llevas en la finca? Y si tu no estas, quien toma las decisiones de produccion?</t>
  </si>
  <si>
    <t>Media</t>
  </si>
  <si>
    <t>P03</t>
  </si>
  <si>
    <t>B1. Negocio y objetivo</t>
  </si>
  <si>
    <t>Cuentame que produce la finca y a quien le venden.</t>
  </si>
  <si>
    <t>La finca produce: -Diferentes variedades de flores, vende la flor terminada ya cosechada, cuarto frio, buquetes, entre otros productos del negocio 9 variedades de flor con diferentes morfologías.</t>
  </si>
  <si>
    <t>Contesto solo la mitad: que producen. Falta por completo a quien le venden, que era el punto de la pregunta. Sin eso no se sabe si la proyeccion es para exportacion o mercado nacional, ni si hay contratos o venta spot. Ademas quedaron dos cajones sin abrir: 'cuarto frio' como producto sugiere servicio a terceros, y 'entre otros productos' puede esconder lineas de negocio enteras.</t>
  </si>
  <si>
    <t>Me falto la otra mitad: a quien le venden? Exportacion o nacional, y en que proporcion? Son clientes fijos con contrato o venta spot? Y cuando dices cuarto frio como producto, es un servicio que le prestan a terceros?</t>
  </si>
  <si>
    <t>Alta</t>
  </si>
  <si>
    <t>P04</t>
  </si>
  <si>
    <t>Que tamano tiene la operacion?</t>
  </si>
  <si>
    <t>15 hectareas de producción de florez: Repartidos de la siguiente forma: --Finca o predio con Hectareas 15 que contiene bloques (Que no son necesariamente las mismas áreas) Las áreas de producción son espacios. Estos bloques están compuestos Naves, y las navez están compuestas por camas. y dentro de las camas están las variedades de flor.</t>
  </si>
  <si>
    <t>La jerarquia quedo perfecta y es lo mas valioso de la sesion: finca &gt; bloque &gt; nave &gt; cama &gt; variedad, con la aclaracion de que los bloques no tienen la misma area. Falta el conteo: cuantos bloques, naves y camas hay. Ese numero define el volumen de datos y si la captura por cama es viable o hay que muestrear. Tampoco se sabe cuanta gente trabaja en campo y poscosecha, que es el numero de usuarios.</t>
  </si>
  <si>
    <t>Dos numeros que me faltan: cuantos bloques, naves y camas hay en total? Y cuantas personas trabajan en campo y en poscosecha?</t>
  </si>
  <si>
    <t>P05</t>
  </si>
  <si>
    <t>Que te llevo a buscar un sistema ahora y no hace dos anos?</t>
  </si>
  <si>
    <t>Ahora las fincas se encuentran más organizadas y sistematizadas al estar más organizadas necesitan datos más certeros, porque la producción demora 3.4 meses para producir con una diferencia de tiempo cómo para que u productor sepa que tanto hay, se necesita la información para saber cómo va a resultar esa flor más adelante.</t>
  </si>
  <si>
    <t>Explico el contexto del sector, no el disparador de ESTA finca. El dato bueno que si dio es que el ciclo de 3.4 meses obliga a decidir con mucha anticipacion, y eso justifica el proyecto. Falta el evento concreto y, sobre todo, quien patrocina el proyecto y si hay presupuesto aprobado.</t>
  </si>
  <si>
    <t>Paso algo puntual este ano que los hizo decidirse? Y dentro de la empresa, quien esta empujando el proyecto?</t>
  </si>
  <si>
    <t>P06</t>
  </si>
  <si>
    <t>Si esto funciona perfecto, que es distinto dentro de un ano?</t>
  </si>
  <si>
    <t xml:space="preserve">Eficiensa en toma de desiciones y venta a partir de estadisticas. </t>
  </si>
  <si>
    <t>Vaga</t>
  </si>
  <si>
    <t>'Eficiencia en la toma de decisiones' no es una meta, es un deseo. Sin un numero al que comprometerse, nadie va a poder declarar el proyecto exitoso ni fallido, y tu no vas a poder defender el precio. Lo bueno es que con los datos de P28 ya tienes con que proponer la meta tu mismo.</t>
  </si>
  <si>
    <t>Te propongo tres metas concretas y me dices si te sirven: (1) que gerencia vea el dato en menos de 24 horas en vez de 8 dias; (2) eliminar las 4 horas semanales de digitacion; (3) bajar el error de captura del 2% a menos de 0.5%. Cambiarias alguna?</t>
  </si>
  <si>
    <t>P07</t>
  </si>
  <si>
    <t>Que decisiones tomas hoy con la proyeccion de ventas?</t>
  </si>
  <si>
    <t>Hacer una venta a futuro más real 2. minimizar. Las cancelaciones de ventas por falta de productos obtener un mejor retorno de venta, por tener más certera la producción, y que el cliente tenga mejor confianza hacia la empresa.</t>
  </si>
  <si>
    <t>Completa</t>
  </si>
  <si>
    <t>Los cuatro usos quedaron claros. Falta cuantificarlos, que es lo que convierte esto en argumento de venta: cuantas ventas se cancelaron el ano pasado y cuanto costo comprarle a terceros para cumplir.</t>
  </si>
  <si>
    <t>El ano pasado, mas o menos cuantas ventas se cancelaron por falta de producto y cuanto tuvieron que comprarle a terceros? Un orden de magnitud me sirve.</t>
  </si>
  <si>
    <t>P07b</t>
  </si>
  <si>
    <t>Que decisiones tomas hoy con la proyeccion de producción?</t>
  </si>
  <si>
    <t>1. Baja de costos 2. Proyectar una necesidad de personal 3. Hacer cambio de variedades y/o productos que no son rentables para produccción, tener mejores datos para la obtención de nuevos productos.</t>
  </si>
  <si>
    <t>Muy buena respuesta y bien que la separaras de la de ventas. Pero abre un alcance oculto grande: 'cambiar variedades que no son rentables' exige cruzar produccion con costos y precios. Hoy no sabemos si esos datos existirian dentro del sistema o habria que traerlos de contabilidad.</t>
  </si>
  <si>
    <t>Para saber que variedad no es rentable hay que cruzar produccion con costos y precio de venta. Esos datos de donde saldrian? El sistema los tendria que guardar o vienen de contabilidad?</t>
  </si>
  <si>
    <t>P08</t>
  </si>
  <si>
    <t>Quien mas usa o necesita esa proyeccion?</t>
  </si>
  <si>
    <t>Hay distintas áreas: Planeación, Producción, Ventas, Compras y el área administrativa y / o gerencial (Con privilegios).</t>
  </si>
  <si>
    <t>Buena lista de areas, sin profundidad. No hay nombres de contactos, ni que necesita ver cada area. 'Compras' aparece aqui y no se vuelve a mencionar en toda la entrevista: no sabemos que necesita. Y el 'con privilegios' de gerencia contradice de frente lo que dijo en P38.</t>
  </si>
  <si>
    <t>Me puedes dar el nombre y contacto de planeacion, ventas y compras? Y en una linea, que necesita ver cada uno? Especialmente compras, que no alcanzamos a tocar.</t>
  </si>
  <si>
    <t>P09</t>
  </si>
  <si>
    <t>B2. Estructura del cultivo</t>
  </si>
  <si>
    <t>Dibujame como esta organizado el cultivo, de la finca hacia abajo.</t>
  </si>
  <si>
    <t>(sin respuesta)</t>
  </si>
  <si>
    <t>Sin responder</t>
  </si>
  <si>
    <t>Quedo cubierta en parte por P04, pero falta lo que realmente importa del modelo de datos: la nomenclatura. Como se identifica una cama, si los codigos se repiten entre bloques, y si cambian cuando se renueva. Esa es la llave primaria de todo el sistema; si se equivoca, se rehace todo.</t>
  </si>
  <si>
    <t>Me pasas un plano de la finca, aunque sea a mano? Y dime como se llama una cama en concreto, por ejemplo la primera del bloque 1. Ese codigo se repite en otro bloque? Cambia cuando renuevan?</t>
  </si>
  <si>
    <t>P10</t>
  </si>
  <si>
    <t>Que variedades tienen y como estan distribuidas?</t>
  </si>
  <si>
    <t>Normalmente: Hay una variedad por cama; esa variedad puede tener varios colores, se puede llegar a dar el caso de mezclar dos variedades por cama, en una misma cama pueden haber distintas subvariedades, en una etapa de producción hay 9 variedades activas constantemente. Estas variedades terminan su ciclo entre 3 y 5 meses dependiendo la variedad, se pueden cambiar después de la producción, sembrando otra variedad o la misma variedad.</t>
  </si>
  <si>
    <t>Excelente. Confirma variedad por cama como norma, con la excepcion de mezcla, y agrega dos niveles que no estaban previstos: colores y subvariedades dentro de una misma cama. Eso cambia el modelo de datos. Falta el catalogo real de las 9 variedades y cada cuanto se da la mezcla.</t>
  </si>
  <si>
    <t>Me pasas la lista de las 9 variedades con sus subvariedades y colores? Y cada cuanto pasa que una cama tenga dos variedades mezcladas, es raro o es comun?</t>
  </si>
  <si>
    <t>P11</t>
  </si>
  <si>
    <t>Como es el ciclo de una variedad, desde siembra hasta el corte?</t>
  </si>
  <si>
    <t>El ciclo de una variedad del sembrado al corte es entre 3 a 5 meses dependiendo la variedad, dentro del ciclo hay una serie de variedades que pueden o no afectar la producción, dependiendo de la variedad pueden salir diferentes tamaños de corte.</t>
  </si>
  <si>
    <t>Hay una ambiguedad que hay que resolver: dijo 'dentro del ciclo hay una serie de variedades que pueden o no afectar la produccion'. Probablemente quiso decir VARIABLES, no variedades. Si es asi, esas variables son justo lo que hay que registrar. Y falta lo mas importante para el motor de calculo: una cama no corta todo en un dia. Cuantos dias dura el periodo de corte y cuantos cortes da una planta.</t>
  </si>
  <si>
    <t>Dos cosas. Primero, cuando dijiste que dentro del ciclo hay variedades que afectan la produccion, te referias a variables o factores? Cuales son? Segundo: cuando una cama empieza a cortar, cuantos dias sigue cortando, y cuantos cortes da una planta antes de terminar?</t>
  </si>
  <si>
    <t>P12</t>
  </si>
  <si>
    <t>Cuanto se corre ese ciclo por clima u otras causas?</t>
  </si>
  <si>
    <t>La producción se puede adelantar por clima, ambiente, activiades humanas o quimicamente puede haber variedades en el tiempo estipulado.</t>
  </si>
  <si>
    <t>Enumero causas pero no dio un solo numero. Sin saber cuantos dias se corre el ciclo, la proyeccion no puede dar un rango de confianza ni avisar cuando algo se esta desviando. La frase final ('puede haber variedades en el tiempo estipulado') quedo incompleta en la nota.</t>
  </si>
  <si>
    <t>En dias: cuanto se te ha corrido un ciclo en el peor caso que recuerdes? Y lo normal, cuantos dias arriba o abajo?</t>
  </si>
  <si>
    <t>P13</t>
  </si>
  <si>
    <t>Cuando renuevan o erradican un area y como lo manejan?</t>
  </si>
  <si>
    <t>Se realiza el mismo proceso de preparar camas, cuando se termina la cosecha se puede repetir el proceso, si la cama tiene muchos problemas puede erradicar la plantación y solucionar antes de interrumpir el ciclo, la desición la toma el ingeniero de producción o gerente de ventas puede interrumpir un ciclo, porque no hay ventas, porque hay problemas fitosanitarios o viene enferma.</t>
  </si>
  <si>
    <t>Muy buena, y revela una regla de negocio fuerte: se puede interrumpir un ciclo por decision comercial, no solo sanitaria. Falta la frecuencia anual y, sobre todo, que pasa con lo que ya estaba proyectado y vendido de esa cama. Tambien falta el tiempo muerto de preparacion entre ciclos, que reduce la capacidad real del ano.</t>
  </si>
  <si>
    <t>Cuando se erradica una cama a mitad de ciclo, que pasa con lo que ya estaba proyectado y vendido de ahi? Cada cuanto pasa al ano? Y cuanto se demora preparar una cama antes de volver a sembrar?</t>
  </si>
  <si>
    <t>P14</t>
  </si>
  <si>
    <t>Manejan siembras escalonadas para apuntar a fechas?</t>
  </si>
  <si>
    <t>Durante temporada se busca que el presupuesto de ventas y producción permita realizar una siembra escalonada para abastecer estas fechas.</t>
  </si>
  <si>
    <t>Confirmo que escalonan para temporada, pero no como. Y hay una decision de alcance escondida: quieres que el sistema CALCULE cuando sembrar para llegar a una fecha (planeacion inversa, modulo grande) o solo que REGISTRE lo que ya decidieron (mucho mas simple). Son dos proyectos distintos.</t>
  </si>
  <si>
    <t>Necesito cerrar algo de alcance: quieres que el sistema te diga cuando hay que sembrar para llegar con flor a San Valentin, o solo que registre la siembra que tu ya decidiste? A o B.</t>
  </si>
  <si>
    <t>P15</t>
  </si>
  <si>
    <t>B3. Proyeccion hoy</t>
  </si>
  <si>
    <t>Llevame por el ultimo ejercicio de proyeccion que hiciste, paso a paso.</t>
  </si>
  <si>
    <t>Al sembrar el producto tengo un estimado de cuanto se va a producir dentro de el ciclo de esa variedad, conociendo todas sus caracteristicas. Con esa producción si preguntan la planeación de cómo va la flor miro los datos y sé en que cama está, voy físicamente a ver cómo va su desarrollo si está adelantada o atrasada, también se pueden hacer desiciones tomando la información con la idea de poder realizar una baja en porcentaje de producción, también se puede agregar o quitar días para la fecha de corte, bajar 5% de producción (Bajar producción se refiere a: Cómo se tiene estimado y se espera que la tierra tenga resultados especificos, pero en algún momento del proceso pasa algo y cierta parte del producto no funciona para venta y ahí se realiza una baja de producción estimada para las proyecciones. La Pérdida se mide por porcentajes y / o tallos)haciendo una observación física, no hay una herramienta predilecta para hacer este proceso.</t>
  </si>
  <si>
    <t>Es la respuesta mas rica de la entrevista y a la vez la mas insuficiente. Describe como DECIDE, no como CALCULA. Buenisimo que hayas capturado su definicion de 'baja de produccion' en sus palabras. Pero faltan los tres numeros del motor: de donde sale el estimado inicial de tallos, como se reparte ese total en el tiempo, y con que criterio baja 5% y no 10%.</t>
  </si>
  <si>
    <t>Necesito reconstruir tu calculo con un caso real. Escoge una cama cualquiera y llevamos sus numeros: esquejes sembrados, fecha, cuantos tallos esperabas, cuando empezo a cortar, cuantos dias duro y cuantos tallos salieron. Con un ejemplo completo entiendo la logica.</t>
  </si>
  <si>
    <t>P16</t>
  </si>
  <si>
    <t>Como hacen el aforo?</t>
  </si>
  <si>
    <t>El sistema debe realizar el conteo y la proyección no quiere decir directamente que se cuente flor por flor pero si estimados; Desde planeación me dicen que debo de plantar y que tanto utilizar lo que permite que la propia información de planeación de una proyección inicial del caso.</t>
  </si>
  <si>
    <t>Mal interpretada</t>
  </si>
  <si>
    <t>Respondio sobre lo que quiere del sistema futuro, no sobre lo que hacen hoy. Pero de rebote solto el dato mas importante de toda la entrevista: 'desde planeacion me dicen que debo plantar y que tanto'. Es decir, la proyeccion NO nace en produccion, nace en un plan de siembra que entrega planeacion. Ese actor y ese documento nunca se exploraron.</t>
  </si>
  <si>
    <t>Volviendo a lo de hoy: planeacion te entrega un plan de siembra por escrito? Me pasas un ejemplo? Y ese plan de donde sale, del presupuesto de ventas del ano?</t>
  </si>
  <si>
    <t>P17</t>
  </si>
  <si>
    <t>Que estados fenologicos registran en el aforo?</t>
  </si>
  <si>
    <t>Actividades que pueden dificultar la producción de algún producto, está la siembra y puede afectar la productividad, lo defino cómo diferentes actividades durante la producción, aplicación de hormonas; Las etapas son "Siembra" "Desbotone" "Botón Color"; Desbotone es una variedades que necesita quitarle ciertas partes de la planta para que puedan salir de mejor calidad el producto. BotónColor: El momento previo al corte.</t>
  </si>
  <si>
    <t>La pregunta estaba mal formulada de mi lado: 'estado fenologico' es vocabulario de rosa y aqui no aplico. El cliente entendio 'actividades que dificultan la produccion'. Aun asi rescato tres etapas (siembra, desbotone, boton color) y definio dos. Falta lo unico que importa: cuantos dias hay de cada etapa al corte, y si esas tres son todas.</t>
  </si>
  <si>
    <t>Creo que te hice la pregunta enredada. Te la pongo simple: si hoy voy y veo una cama en desbotone, en cuantos dias empieza el corte? Y si la veo en boton color? Ademas de esas dos, hay otras etapas que reconozcan a ojo?</t>
  </si>
  <si>
    <t>P18</t>
  </si>
  <si>
    <t>Como pasan de tallos aforados a tallos vendibles?</t>
  </si>
  <si>
    <t>Esto ya había sido abordado previamente dónde la persona encargada de la proyección realiza una revisión presencial de la cama y estima restando procentajes si la producción va bajando, y además agrega o quita dias a la fecha de corte</t>
  </si>
  <si>
    <t>Remite a P15 sin agregar la regla. El porcentaje de baja sigue siendo criterio personal no documentado. Falta saber si ese ajuste queda registrado en alguna parte y si se puede reconstruir por que una proyeccion cambio.</t>
  </si>
  <si>
    <t>Cuando bajas un 5% la produccion de una cama, eso queda anotado en algun lado con la razon? Si alguien pregunta dentro de tres meses por que bajo, se puede reconstruir?</t>
  </si>
  <si>
    <t>P19</t>
  </si>
  <si>
    <t>Como clasifican la produccion para vender?</t>
  </si>
  <si>
    <t>La flor se clasifica en grados o calidades: GRADOS: El grado es una forma de indicar un conjunto de CALIDADES de un producto , CALIDADES: La longitud del tallo Tamaños de la flor, número de flores por tallo y grosor del tallo, y follaje, cada finca define sus calidades y grados.</t>
  </si>
  <si>
    <t>Definicion conceptual muy buena y util: grado agrupa calidades (longitud, tamano de flor, numero de flores por tallo, grosor y follaje) y cada finca define las suyas. Falta todo lo operativo: el catalogo de grados de esta finca y el porcentaje historico que cae en cada grado. Sin eso la proyeccion solo puede dar un total de tallos, que comercialmente no sirve.</t>
  </si>
  <si>
    <t>Me pasas la tabla de grados y calidades que usan ustedes? Y de una cosecha tipica, mas o menos que porcentaje sale en cada grado? Un estimado tuyo sirve si no esta medido.</t>
  </si>
  <si>
    <t>P20</t>
  </si>
  <si>
    <t>En que unidad de tiempo proyectan?</t>
  </si>
  <si>
    <t>Siempre se proyecta en días, se pueden utliizar semanas pero al final el principal son días.</t>
  </si>
  <si>
    <t>Dato claro y con consecuencia fuerte: si proyectan en dias a un ano, son cientos de puntos por cama y por variedad. Hay que confirmar si el presupuesto anual tambien es diario o es mensual, porque son dos granularidades y hoy estan mezcladas.</t>
  </si>
  <si>
    <t>El presupuesto a un ano lo armas en dias o en meses? Y el seguimiento semanal, a que nivel lo miras? Son la misma pantalla para ti o dos cosas distintas?</t>
  </si>
  <si>
    <t>P21</t>
  </si>
  <si>
    <t>Con cuanta anticipacion necesitan la proyeccion?</t>
  </si>
  <si>
    <t>1 año de anticipación para la proyección y la realización de su presupuesto, y en ocasiones se hace hasta 1 año y medio dependiendo de la variedad, debe manterse el seguimiento de producción yventas ajustando el presupuesto a una realidad y calidad, con la proyección de producción se realizan las ventas.</t>
  </si>
  <si>
    <t>Horizonte confirmado: 1 a 1.5 anos. Cambia la naturaleza del sistema, es presupuesto y no pronostico de corto plazo. Falta cada cuanto se vuelve a proyectar y quien aprueba el presupuesto.</t>
  </si>
  <si>
    <t>Cada cuanto vuelves a ajustar la proyeccion, semanal o mensual? Y quien aprueba el presupuesto una vez lo armas?</t>
  </si>
  <si>
    <t>P22</t>
  </si>
  <si>
    <t>Que tan cerca queda la proyeccion de lo que realmente cortan?</t>
  </si>
  <si>
    <t>La desviación de presupuesto de ventas vs la proyección normalmente está 6% debajo del presupuesto</t>
  </si>
  <si>
    <t>El 6% es un numero valioso, pero compara presupuesto contra proyeccion, no proyeccion contra corte real. Si se usa como linea base sin aclararlo, la meta del proyecto queda mal fijada desde el primer dia.</t>
  </si>
  <si>
    <t>Ese 6%, compara lo presupuestado contra lo proyectado, o contra lo que efectivamente se corto? Tienen el dato de proyectado contra cortado real de los ultimos meses, aunque sea de una variedad?</t>
  </si>
  <si>
    <t>P23</t>
  </si>
  <si>
    <t>Que pasa cuando la proyeccion falla, por encima o por debajo?</t>
  </si>
  <si>
    <t>Cuando se incumple la proyección el gerente de ventas debe suplir la necesidad del producto, comprando a terceros, o cancelando ventas</t>
  </si>
  <si>
    <t>Las dos salidas quedaron claras (comprar a terceros o cancelar). Falta el costo, que es exactamente el argumento economico que necesitas para justificar el proyecto ante gerencia.</t>
  </si>
  <si>
    <t>Cuantas veces al ano les toca comprar a terceros o cancelar? Y cuanto les costo aproximadamente el ano pasado?</t>
  </si>
  <si>
    <t>P24</t>
  </si>
  <si>
    <t>Ajustan la proyeccion a mano por experiencia?</t>
  </si>
  <si>
    <t>La proyección se ajusta a base en las productividades que arroja el sistema: Por ejepmplo, si de X variedad, requiero que proyecte el 90%, pero la realidad es 80%, que hace la produducción,  planeación dice "Estamos producciendo menos de lo que estamos proyectando o más de lo que estamos proyectando", siendo a mano por las personas encargadas de la producción.</t>
  </si>
  <si>
    <t>Confirma que el ajuste es manual y por experiencia. Pero vuelve a mencionar 'las productividades que arroja el sistema', que es la tercera vez que aparece un sistema del que no sabemos nada. Ademas menciona una comparacion proyectado contra real que aparentemente ya existe.</t>
  </si>
  <si>
    <t>Cuando dices que el sistema arroja las productividades, a que sistema te refieres? Podemos verlo en pantalla? Y esa comparacion de lo proyectado contra lo real, ya la saca el sistema o la hacen a mano?</t>
  </si>
  <si>
    <t>P25</t>
  </si>
  <si>
    <t>Como se cruza la proyeccion con los pedidos ya comprometidos?</t>
  </si>
  <si>
    <t>Esta visualización es una adiccion a las ventas, el usuario sugiere que se sale del dominio del sistema que se busca, se le puede adicionar que se pueda especificar para que clientes van las camas definidas. Una finca puede contar con demasiados clientes, para proyectar de manera individual a caada cliente puede ser demasiado complicado y engorroso. Pero se puede dejar abierto.</t>
  </si>
  <si>
    <t>Quedo en 'se sale del dominio pero se puede dejar abierto', que no es una decision: es alcance que reaparece a mitad del desarrollo. Ademas aparecio una funcionalidad nueva y grande sin dimensionar: asignar camas especificas a clientes especificos. Y contradice P07, donde el objetivo era minimizar cancelaciones de venta, que es justo esto.</t>
  </si>
  <si>
    <t>Necesito cerrarlo con opciones: A) el sistema solo muestra cuanta flor vamos a tener. B) ademas muestra cuanta ya esta comprometida y con que cliente. Si es B, entra en la primera fase o la dejamos para una segunda? Dime A, B1 o B2.</t>
  </si>
  <si>
    <t>P26</t>
  </si>
  <si>
    <t>B4. Registro continuo</t>
  </si>
  <si>
    <t>Que se registra hoy sobre el estado del cultivo?</t>
  </si>
  <si>
    <t>Se registra 1 cosa: La siembra, lo ideal es registrar más actividades, está digitalizado pero no lo hace la finca, es necesario un sistema amigable y rápido de ingresar. Lo realmente necesario es la siembra y la producción de esa cama y la producción de un esqueje, no se registran actividades, pero se puede hacer para que registre cualquier cosa: La siembra se define cómo: Poner esqueje en la cama y sembrarlo y empieza su ciclo fenologico.</t>
  </si>
  <si>
    <t>Respuesta clave: hoy solo se registra la siembra. Delimita bien el punto de partida. Pero hay una frase que no cierra: 'esta digitalizado pero no lo hace la finca'. Hay que aclarar si la herramienta existe y no la usan, o si la usa un tercero. Y aparece 'la produccion de un esqueje', que apunta a un modulo de material vegetal que no se exploro.</t>
  </si>
  <si>
    <t>Cuando dices que esta digitalizado pero la finca no lo hace, a que te refieres? Existe la herramienta y no la usan, o lo hace alguien externo? Y lo del esqueje: manejan produccion propia de material vegetal?</t>
  </si>
  <si>
    <t>P27</t>
  </si>
  <si>
    <t>Quien registra, donde y en que momento del dia?</t>
  </si>
  <si>
    <t xml:space="preserve">Un digitador practicante de sistemas, hay un supervisor de siembra que realiza formularios y luego el prácticante digita. Lo puede hacer cualquier persona, pero cómo son varios focos de siembra, una solo rol que realiza esto, supervisores o auxiliares de siembra, cómo hay distintos puntos de siembra este auxiliar, separando por bloques o variedades, básicamente este supervisor puede revistar cantidad de bloques o revisar variedad cultivada. </t>
  </si>
  <si>
    <t>Cadena de captura clara: supervisor llena formato, practicante digita. Falta cuantos supervisores y auxiliares hay, que es el numero de usuarios. Y hay un riesgo que conviene nombrar: si el digitador es un practicante, rota cada semestre y se lleva el conocimiento.</t>
  </si>
  <si>
    <t>Cuantos supervisores y auxiliares de siembra hay en total? Y el practicante que digita, es un cargo fijo o cambia cada semestre?</t>
  </si>
  <si>
    <t>P28</t>
  </si>
  <si>
    <t>Cuanto tarda hoy ese registro y cuanto se pierde en el camino?</t>
  </si>
  <si>
    <t>El supervisor toma la información daria mediante plantillas y formatos que el supervisor llena a lapiz y papel tomando nota en un formato, se tarda 1 hora al día tomando información, el prácticante de sistemas digitando esta información en el sistema puede tardar 4 horas 1 vez a la semana y planeación y gerencía recibe esta información cada 8 días, esta información tiene un porcentaje de error del 2%.</t>
  </si>
  <si>
    <t>La mejor respuesta de toda la entrevista y la base economica del proyecto: 1 hora diaria, 4 horas semanales de digitacion, 8 dias de latencia, 2% de error. Lo unico que falta es de donde sale ese 2%: si esta medido o es una impresion. Y si la hora diaria es por supervisor o en total.</t>
  </si>
  <si>
    <t>Ese 2% de error esta medido en algun lado o es tu impresion? Y la hora diaria de captura, es por cada supervisor o entre todos?</t>
  </si>
  <si>
    <t>P29</t>
  </si>
  <si>
    <t>Hay senal de celular o wifi dentro del cultivo?</t>
  </si>
  <si>
    <t>NO</t>
  </si>
  <si>
    <t>Contradictoria</t>
  </si>
  <si>
    <t>La respuesta es clara y decisiva para la arquitectura, pero choca de frente con P30, donde dice que el formato de plagas se llena en celular y va directo a un sistema. Ambas no pueden ser ciertas. Falta ademas saber donde SI hay senal: oficina, poscosecha, entrada.</t>
  </si>
  <si>
    <t>Me quedo una duda: si no hay senal en el cultivo, el formato de plagas que llenan en el celular en que momento sube? Lo llenan en la cama y sube despues, o lo llenan ya afuera? Y donde si hay wifi, en oficinas?</t>
  </si>
  <si>
    <t>P30</t>
  </si>
  <si>
    <t>Que registran de plagas y enfermedades?</t>
  </si>
  <si>
    <t>Se registran plagas y enfermedades, es un formato que se encuentra en un celular, y va directamente en un sistema.</t>
  </si>
  <si>
    <t>Confirma que ya existe captura movil funcionando para plagas. Eso es una pista fuerte del sistema actual y ademas un precedente util: si esa app la usan, sirve de modelo. Falta saber cual es, quien la hizo y si es el mismo sistema del que habla en P24 y P33.</t>
  </si>
  <si>
    <t>Ese formato de plagas del celular, que app es y quien la hizo? Es el mismo sistema del que hablabas antes? Me puedes mostrar una pantalla?</t>
  </si>
  <si>
    <t>P31</t>
  </si>
  <si>
    <t>Registran clima?</t>
  </si>
  <si>
    <t>El clima se registra manual, cón información principal cómo pluviometría en mililitros de lluvia.</t>
  </si>
  <si>
    <t>Solo registran pluviometria y de forma manual. Hay un hueco logico importante: en P12 dijo que el ciclo se corre por clima, pero no miden temperatura. Sin esa variable no se puede modelar el corrimiento ni mejorar la proyeccion con el tiempo.</t>
  </si>
  <si>
    <t>Ademas de lluvia, miden temperatura o humedad en algun lado? Si el ciclo se corre por clima y solo medimos lluvia, no vamos a poder explicarlo. Tienen estacion meteorologica o seria viable poner una?</t>
  </si>
  <si>
    <t>P32</t>
  </si>
  <si>
    <t>Que reportes se producen hoy y para quien?</t>
  </si>
  <si>
    <t>Se Sacan reportes de siembra. Reportes de producción. Reportes de plagas y enfermedades. Reportes de inventarios de material vegetal. Reportes de pérdida de flor Reportes de estimados de flor. Pueden haber más, y generalmente se realizan de manera semanal estos reportes son digitales a través de powerBI</t>
  </si>
  <si>
    <t>Excelente inventario: siembra, produccion, plagas y enfermedades, inventarios de material vegetal, perdida de flor, estimados de flor. Semanales y en PowerBI. Todo reporte que existe hoy es un requisito del sistema nuevo. Falta verlos y saber quien los construye y mantiene.</t>
  </si>
  <si>
    <t>Me puedes compartir esos reportes tal como salen hoy, aunque sea en captura de pantalla? Y quien arma y mantiene los tableros de PowerBI?</t>
  </si>
  <si>
    <t>P33</t>
  </si>
  <si>
    <t>Que pasa cuando alguien registra un dato equivocado?</t>
  </si>
  <si>
    <t>El sistema normalmente no permite ingresar información erronea pero si esta información erronea llega a otras étapas de debe poder realizar una trazabilidad completa hasta la cama de dónde salió esta información</t>
  </si>
  <si>
    <t>Dejo un requisito muy claro y bien formulado: trazabilidad completa hasta la cama de origen. Pero vuelve a aparecer 'el sistema' sin identificar. Y no contesto lo que se preguntaba: que pasa hoy cuando alguien ya registro mal, quien puede corregir y si queda rastro.</t>
  </si>
  <si>
    <t>Hoy, si un supervisor anota mal una cantidad y ya quedo registrada, quien la puede corregir? Queda constancia de quien la cambio y por que?</t>
  </si>
  <si>
    <t>P34</t>
  </si>
  <si>
    <t>B5. Excepciones y limites</t>
  </si>
  <si>
    <t>Que es lo que mas tiempo te quita hoy en todo esto?</t>
  </si>
  <si>
    <t>La revisión de la siembra es lo que más tiempo consume, realizar la captura de datos, el foco del proyecto.</t>
  </si>
  <si>
    <t>Declaracion de foco del proyecto en boca del cliente, que es lo mejor que se puede tener: la captura de datos de la siembra. Solo falta cuantificar cuanto tiempo le quita a el personalmente.</t>
  </si>
  <si>
    <t>De tu semana, cuantas horas se te van en revisar siembra y captura de datos?</t>
  </si>
  <si>
    <t>Baja</t>
  </si>
  <si>
    <t>P35</t>
  </si>
  <si>
    <t>Que se hace hoy por fuera del sistema o de las planillas oficiales?</t>
  </si>
  <si>
    <t>Todo está sistematizado.</t>
  </si>
  <si>
    <t>'Todo esta sistematizado' choca de frente con lo que el mismo dijo en P28 (papel y lapiz, 4 horas de digitacion) y P31 (clima manual). No esta mintiendo: describe la intencion de la finca, no su realidad. Esta respuesta no se discute en reunion, se verifica en campo.</t>
  </si>
  <si>
    <t>No la vuelvas a preguntar. Pidele al supervisor: me mandas foto de los formatos de esta semana, tal como quedan llenos? Y ve un dia a campo a mirar.</t>
  </si>
  <si>
    <t>P36</t>
  </si>
  <si>
    <t>Que otros sistemas existen en la finca?</t>
  </si>
  <si>
    <t>Sistema de nómina y contabilidad.</t>
  </si>
  <si>
    <t>Solo nombro las categorias. Falta lo que sirve: que sistemas son, quien los administra, y si el sistema nuevo tendria que leer o escribir algo de ellos. Si hay que calcular rentabilidad por variedad (P07b), contabilidad deja de ser opcional.</t>
  </si>
  <si>
    <t>Que sistemas de nomina y contabilidad usan, y quien los administra? El sistema nuevo tendria que intercambiar datos con alguno o son mundos separados?</t>
  </si>
  <si>
    <t>P37</t>
  </si>
  <si>
    <t>Hay certificaciones o auditorias que cumplir?</t>
  </si>
  <si>
    <t>FlorVerde es un sello dónde se piden datos de producción para mostrar que se está cultivando de manera ecosostenible y amigable socialmente.</t>
  </si>
  <si>
    <t>Identifico el sello y su proposito, pero no que registros exige ni con que formato. Como es no negociable, descubrirlo tarde obliga a rehacer formularios y reportes completos.</t>
  </si>
  <si>
    <t>Me pueden compartir los formatos o el listado de registros que exige Florverde, y cada cuanto los auditan? Con quien del area de calidad puedo hablarlo?</t>
  </si>
  <si>
    <t>P38</t>
  </si>
  <si>
    <t>Quien NO deberia ver cierta informacion?</t>
  </si>
  <si>
    <t>Toda la información puede ser observada por todos siempre y cuando sea bajo el contexto de producción.</t>
  </si>
  <si>
    <t>'Todos pueden ver todo' contradice el 'gerencial con privilegios' de P08. Ademas nunca se toco lo que las fincas si restringen: costos y precios de venta. Y P07b implica que el sistema manejara rentabilidad, o sea costos.</t>
  </si>
  <si>
    <t>Volviendo a permisos: un supervisor de siembra deberia poder ver el costo de produccion o el precio de venta de la flor? Y los datos de bloques que no son suyos?</t>
  </si>
  <si>
    <t>P39</t>
  </si>
  <si>
    <t>Que parte del proceso actual NO quieres que el sistema cambie?</t>
  </si>
  <si>
    <t>Esta es la pregunta que evita que el sistema sea rechazado por la gente que lo va a usar. Quedo sin responder probablemente porque es abstracta. Hay que reformularla con ejemplos concretos del proceso actual.</t>
  </si>
  <si>
    <t>Te la pongo con ejemplos: si el sistema le cambiara al supervisor la forma de anotar la siembra, o le quitara el formato en papel de un dia para otro, eso seria un problema? Que parte de la rutina actual preferirias que no se toque?</t>
  </si>
  <si>
    <t>P40</t>
  </si>
  <si>
    <t>Que pasa si el sistema se cae en plena temporada de San Valentin?</t>
  </si>
  <si>
    <t>El sistema perdería todo su valor si en fechas importantes falla</t>
  </si>
  <si>
    <t>Es un sentimiento, no un requisito. Falta el numero que define la arquitectura: cuantas horas pueden operar sin el sistema antes de que se pare la operacion, y si existe plan B en papel.</t>
  </si>
  <si>
    <t>En concreto: si el sistema se cae un dia entero en plena temporada, pueden seguir trabajando en papel o se para la operacion? Cuantas horas aguantan?</t>
  </si>
  <si>
    <t>P41</t>
  </si>
  <si>
    <t>Como es la temporada pico frente a la baja, en numeros?</t>
  </si>
  <si>
    <t>60% más grande de lo que se suele tener para elresto de temporadas</t>
  </si>
  <si>
    <t>El 60% es util pero esta sin unidad: 60% mas de que? De tallos, de personal, de registros? Y falta el numero absoluto para poder dimensionar. Ojo: esto corrige el supuesto de 6x que traia la plantilla de ejemplo.</t>
  </si>
  <si>
    <t>Ese 60% mas grande, es en tallos cortados, en personal o en registros? Y en un dia pico, cuantos registros de siembra o produccion se llenan y cuanta gente extra entra?</t>
  </si>
  <si>
    <t>P42</t>
  </si>
  <si>
    <t>B6. Cierre</t>
  </si>
  <si>
    <t>Te resumo lo que entendi. Que corregirias?</t>
  </si>
  <si>
    <t>No se valido el entendimiento al cierre. Es la correccion mas barata y la que mas valor da: la gente corrige mucho mejor de lo que especifica. Se recupera por escrito sin necesidad de otra reunion.</t>
  </si>
  <si>
    <t>Enviar el acta con el resumen en 7 vinetas pidiendo correccion (mensaje M1 del archivo de diagnostico). Truco: mete una o dos imprecisiones evidentes a proposito; quien no responde preguntas si corrige errores.</t>
  </si>
  <si>
    <t>P43</t>
  </si>
  <si>
    <t>Con quien mas deberia hablar?</t>
  </si>
  <si>
    <t>Sin otros entrevistados identificados. Todo el levantamiento descansa hoy en una sola persona, para un sistema que segun el mismo cliente sirve a cinco areas.</t>
  </si>
  <si>
    <t>De planeacion, ventas, compras y calidad, con quien deberia hablar? Me los presentas por correo asi sea en dos lineas?</t>
  </si>
  <si>
    <t>P44</t>
  </si>
  <si>
    <t>Que documentos, planillas o datos de muestra me puedes pasar?</t>
  </si>
  <si>
    <t>Sin datos ni documentos de muestra. Un archivo real contesta veinte preguntas que nunca hiciste, y ademas permite validar todo lo que el cliente dijo de memoria.</t>
  </si>
  <si>
    <t>Me puedes compartir: el presupuesto de produccion de este ano, los formatos que llena el supervisor, la lista de variedades, la tabla de grados y una captura de los reportes de PowerBI?</t>
  </si>
  <si>
    <t>P45</t>
  </si>
  <si>
    <t>Agendamos una segunda sesion para validar un boceto?</t>
  </si>
  <si>
    <t>Sin segunda sesion agendada. Sin ella el levantamiento se enfria y hay que volver a empezar. Lo ideal es agendarla para mostrar un boceto, no para seguir preguntando.</t>
  </si>
  <si>
    <t>Te queda bien una sesion de 45 minutos la proxima semana? Voy con un boceto de pantallas para que me digas que esta mal, es mas rapido que seguir preguntando.</t>
  </si>
  <si>
    <t>Calificacion del levantamiento, recalculada desde cada pregunta</t>
  </si>
  <si>
    <t>Promedio de las notas individuales de la hoja Entrevista S1. Si cambias una nota alla, esto se actualiza solo. Reemplaza la calificacion por dimensiones de la version anterior.</t>
  </si>
  <si>
    <t>Bloque de la entrevista</t>
  </si>
  <si>
    <t>Preguntas</t>
  </si>
  <si>
    <t>Nota media /5</t>
  </si>
  <si>
    <t>Equivale /10</t>
  </si>
  <si>
    <t>Lectura</t>
  </si>
  <si>
    <t>El encuadre cumplio, pero la respuesta de apertura ya introdujo la ambiguedad mas cara del proyecto: informes en BI sin definir si es el PowerBI actual o algo nuevo.</t>
  </si>
  <si>
    <t>El bloque mas solido despues del de captura. Se entiende el negocio y para que sirve la proyeccion. Falla en lo mismo de siempre: ninguna meta tiene numero y no se pregunto a quien le venden.</t>
  </si>
  <si>
    <t>Lo mejor de la sesion. La jerarquia quedo lista para modelar. Los huecos son de detalle: nomenclatura de camas, catalogo de variedades y cuantos dias se corre un ciclo.</t>
  </si>
  <si>
    <t>El bloque mas importante y el peor resuelto. El cliente describio como decide, no como calcula. Aqui se juega la viabilidad del proyecto: sin la formula no hay nada que programar.</t>
  </si>
  <si>
    <t>Bien cuantificado y con el foco del proyecto declarado por el propio cliente. Arrastra la contradiccion de conectividad y las menciones sueltas a un sistema que ya existe.</t>
  </si>
  <si>
    <t>Bloque debil. Casi todo quedo en respuestas de una linea o contradictorias. Es donde suelen esconderse los sobrecostos: integraciones, permisos, certificacion y disponibilidad.</t>
  </si>
  <si>
    <t>No se hizo. Es la parte mas facil de recuperar y la mas urgente: un correo resuelve el 80% hoy mismo.</t>
  </si>
  <si>
    <t>GLOBAL DE LA SESION 1</t>
  </si>
  <si>
    <t>Sobre 10. Comparable con la calificacion ponderada del archivo de diagnostico.</t>
  </si>
  <si>
    <t>Conteo por estado de respuesta</t>
  </si>
  <si>
    <t>Preguntas criticas abiertas</t>
  </si>
  <si>
    <t>Por que esta nota no coincide con la del archivo de diagnostico</t>
  </si>
  <si>
    <t>Este promedio trata las 46 preguntas como si pesaran lo mismo, y no pesan igual. El archivo de diagnostico pondera por dimension y da una nota mas baja, porque castiga que las brechas esten justo donde el proyecto se juega la viabilidad: el motor de calculo y la frontera con lo que ya existe. Usa esta hoja para ver donde re-preguntar, y la ponderada para decidir si ya puedes estimar. Mientras haya preguntas criticas abiertas, la respuesta es no.</t>
  </si>
  <si>
    <t>Contexto añadido por el cliente</t>
  </si>
  <si>
    <t>30 años | Hay 4 personas encargadas de las desicione con 4 roles diferentes, gerente de producción, jefe de planeación gerente de ventas, gerente general, alguno de estos 3 pueden tomar desiciones.</t>
  </si>
  <si>
    <t>De estos informes se cuenta con muestras ya realizadas de lo que se busca, antes se realizaba haciendo estimaciones con powerBI pero se busca poder recrear estas estimaciones directamente y con el enfoque del negocio. O se pueden mejorar ya que estas no se adaptan completamente al negocio. Planteando un enfoque diferente.</t>
  </si>
  <si>
    <t>Por el momento dentro del proyecto no está contemplado manejar clientes y ventas.</t>
  </si>
  <si>
    <t>Aproximadamente 25 bloques, 1525 camas, 156 operarios de campo, 10 administradores, postcosecha son 57 personas y 4 administradores (Personal indirecto: Supervisores auxiliares gerentes ingenieros), se puede saber cuantos plantaciones hay en una cama, dependiendo del área de la cama y la variante que se quiera sembrar se define una cantidad de plantaciones por metro cuadrado y esto es definido por el ingeniero agronomo</t>
  </si>
  <si>
    <t>La empresa desea mejorar el motor de base de datos y llevar los datos que tiene actualmente a una plataforma más robusta, y tener una aplicación Mobile-First y web</t>
  </si>
  <si>
    <t>un 8% del total de ventas planeadas se tuvo que conseguir mediante terceros o cancelando ordenes, por diferentes motivos no solo de cultivo.</t>
  </si>
  <si>
    <t>No es el enfoque del proyecto ya que no vamos a manejar ventas directamente</t>
  </si>
  <si>
    <t>No contamos con más personas para recopilar información además no es necesario ventas y compras</t>
  </si>
  <si>
    <t>Hay 300 variedades y subvariedades no es rentable mencionarlas todas.</t>
  </si>
  <si>
    <t>No es variedades que afecten producción sinó actividades que afectan esta producción: Por ejemplo, desbotone, corte de luces, retirada de luces a destiempo, profundida de la siembra.</t>
  </si>
  <si>
    <t>El mejor caso es que la producción se pueda cosechar en la fecha estipulada, el peor de los casos puede atrasarse hasta 15 días, un margen de error del 16% por encima o por debajo,la idea del producto es mermar ese margen de error</t>
  </si>
  <si>
    <t>Tiene que ser digitada la información de la destrucción de la cama para que el sistema reste esas unidades y lo que pasa con lo vendido no es nuestro dominio, pero las opciones son o cancelar o comprar, esta erradicación puede presentarse semanalmente o incluso diario. Después de erradicado, se determina según la necesidad de la finca que se hace con esa cama.</t>
  </si>
  <si>
    <t>Es mantener la información sin necesidad de advertir, cada año es muy variable en temporadas altas, pero si el sistema es inteligente puede genera sugeridos.</t>
  </si>
  <si>
    <t>Los ejemplos dados aplican cómo metas, tener proyecciones de ventas que se acerquen del 90% al 110% con base a desviaciones: Yo tengo una flor que tengo para florecer 1000 unidades en semana 25 el sistema debe decir, usted va a decidir según las deviaciones, esos 1000 plantados realmente se van a reflejar en 900 mantener esa información al día esl o importante. se busca 1000, pero pueden salir más o menos productos cultivados, y que el sistema pueda mantener el seguimiento de estos cambios. el 90% y 110% se aplica directamente a la información proyectada es decir al 900, puedo sacar 810 o 990 o 1000 pero si saco 1020 algo no funcionó</t>
  </si>
  <si>
    <t>Cama de 1000 plantas sembradas al término de 3 a 5 meses de diferentes actividades que se hacen en la cama, de acuerdo a las proyecciones de producción de la variedad, se pueden sacar 900, y esto se calcular mediante porcentajes de producción. La realidad no puede exceder 1000 plantas, el corte dura 7 días en promedio dependiendo de la variedad, todo depende del producto.</t>
  </si>
  <si>
    <t>Todo depende de la variedad, pero normalmente es 2 a 3 semanas después del desbotone, si está en boton color se planea cortar en 2 o 3 días.</t>
  </si>
  <si>
    <t>Se hace un formato de baja de producción y se debe digitar en el sistema para que pueda ser calculada la proyección, esta información se recopila cada semana.</t>
  </si>
  <si>
    <t>El presupuesto se arma días semanas meses despendiendo a quien le interesa, al gerente le interesa ver mensualmente y cuanto va a ingresar, al gerente de ventas le interesa semanal y diario con prioridad en semanal, y al gerente de producción le interesa diario</t>
  </si>
  <si>
    <t>La proyección se realiza mensualmente o según necesidad, lo ideal es realizar la proyección semanalmente.</t>
  </si>
  <si>
    <t>Lo presupuestado contra lo que se cortó realmente, hay información de los ultimos meses más adelante se obtendrá.</t>
  </si>
  <si>
    <t>Es dificil estipular un número porque puede ocurrir semanalmente o mensualmente. Se puede ir un 6% de las ventas en comprar a terceros.</t>
  </si>
  <si>
    <t>Tiene un nombre pero no lo recordamos pero existe un pantallazo o información accesible.</t>
  </si>
  <si>
    <t>El sistema sólo muestra cuanta flor se va a producir y tener para las proyecciones sin meterse en el terreno de ventas.</t>
  </si>
  <si>
    <t>Las actividades para la cama pueden estár digitalizadas pero la finca no realiza esta acción, la herramienta está pero no se hace.</t>
  </si>
  <si>
    <t>3 Personas ocupadas de realizar ingreso de información de campo, 1 supervisor y 2 auxiliares, Esta información es vista por alrededor de 20 personas, el practicante va cambiando semestral y hay una brecha entre cada semestre hay que utilizar 15 días de entrenamiento.</t>
  </si>
  <si>
    <t>Es información la revisa supervisor y luego auditor que suele ser ingeniero en sistemas, la idea es que se elimine este error.  Siempre ocurre semanalmente este 2%, esta información es comparación de producto real contra la proyección realizada.</t>
  </si>
  <si>
    <t>Local en celular, luego se sube en la nube cuando ya haya red, en las oficinas normalmente</t>
  </si>
  <si>
    <t>Se llama Monitoreo de Plagas y enfermedades. Es un sistema propio de la empresa.</t>
  </si>
  <si>
    <t>Se registra temperatura y humedad pero no se hace nada en la producción con esta información, Si hay estación meteorologica pero no está en uso.</t>
  </si>
  <si>
    <t>Esta información la puede corregir al área de sistemas aprobado por el area de producción o gerente de producción o ingeniero agronomo</t>
  </si>
  <si>
    <t>Se pueden ir 4 horas semanalmente</t>
  </si>
  <si>
    <t>Es un mundo totalmente aparte fuera del alcance</t>
  </si>
  <si>
    <t>El supervisor de siembra puede ver el costo de producción pero no conocen el costo de venta, La información es compartida no se busca restricciones para gerentes, para supervisores y auxiliares hay restricciones sobretodo en el precio del a venta de la flor.</t>
  </si>
  <si>
    <t>Si no se explica bien el nuevo metodo de recolección si hay un problema habiendo reacción al cambio, mostrar las bondades y facilidades del sistema siendo fácil y ágil.</t>
  </si>
  <si>
    <t xml:space="preserve">Hay que seguir trabajando si o sí aunque se haga en papel o se hace localmente, se debe tener un plan B. máximo 1 hora sin disponibilidad del sistema debido a exigencias. </t>
  </si>
  <si>
    <t>Es un aumento proporcional 60% tallos - 40% personal % 60% registros. En crecminento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</si>
</sst>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6"/>
      <color rgb="FF1F3864"/>
      <name val="Arial"/>
    </font>
    <font>
      <i/>
      <sz val="10"/>
      <color rgb="FF595959"/>
      <name val="Arial"/>
    </font>
    <font>
      <b/>
      <sz val="12"/>
      <color rgb="FF1F3864"/>
      <name val="Arial"/>
    </font>
    <font>
      <sz val="10"/>
      <name val="Arial"/>
    </font>
    <font>
      <b/>
      <sz val="10"/>
      <color rgb="FF000000"/>
      <name val="Arial"/>
    </font>
    <font>
      <b/>
      <sz val="10"/>
      <color rgb="FFFFFFFF"/>
      <name val="Arial"/>
    </font>
    <font>
      <sz val="9"/>
      <name val="Arial"/>
    </font>
    <font>
      <b/>
      <sz val="9"/>
      <name val="Arial"/>
    </font>
    <font>
      <b/>
      <sz val="11"/>
      <name val="Arial"/>
    </font>
    <font>
      <i/>
      <sz val="9"/>
      <color rgb="FF0F4761"/>
      <name val="Arial"/>
    </font>
    <font>
      <b/>
      <sz val="15"/>
      <color rgb="FF1F3864"/>
      <name val="Arial"/>
    </font>
    <font>
      <b/>
      <sz val="10"/>
      <name val="Arial"/>
    </font>
    <font>
      <b/>
      <sz val="11"/>
      <color rgb="FFFFFFFF"/>
      <name val="Arial"/>
    </font>
    <font>
      <b/>
      <sz val="13"/>
      <color rgb="FFFFFFFF"/>
      <name val="Arial"/>
    </font>
    <font>
      <sz val="9"/>
      <color rgb="FFFFFFFF"/>
      <name val="Arial"/>
    </font>
    <font>
      <b/>
      <sz val="13"/>
      <color rgb="FFC00000"/>
      <name val="Arial"/>
    </font>
  </fonts>
  <fills count="9">
    <fill>
      <patternFill patternType="none"/>
    </fill>
    <fill>
      <patternFill patternType="gray125"/>
    </fill>
    <fill>
      <patternFill patternType="solid">
        <fgColor rgb="FF1F3864"/>
      </patternFill>
    </fill>
    <fill>
      <patternFill patternType="solid">
        <fgColor rgb="FFF2F2F2"/>
      </patternFill>
    </fill>
    <fill>
      <patternFill patternType="solid">
        <fgColor rgb="FFFFFFFF"/>
      </patternFill>
    </fill>
    <fill>
      <patternFill patternType="solid">
        <fgColor rgb="FFFFF2CC"/>
      </patternFill>
    </fill>
    <fill>
      <patternFill patternType="solid">
        <fgColor rgb="FFE2EFDA"/>
      </patternFill>
    </fill>
    <fill>
      <patternFill patternType="solid">
        <fgColor rgb="FFFCE4D6"/>
      </patternFill>
    </fill>
    <fill>
      <patternFill patternType="solid">
        <fgColor rgb="FF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8" fillId="3" borderId="1" xfId="0" applyFont="1" applyFill="1" applyBorder="1" applyAlignment="1">
      <alignment horizontal="center" vertical="top"/>
    </xf>
    <xf numFmtId="0" fontId="7" fillId="3" borderId="1" xfId="0" applyFont="1" applyFill="1" applyBorder="1" applyAlignment="1">
      <alignment vertical="top" wrapText="1"/>
    </xf>
    <xf numFmtId="0" fontId="8" fillId="3" borderId="1" xfId="0" applyFont="1" applyFill="1" applyBorder="1" applyAlignment="1">
      <alignment vertical="top" wrapText="1"/>
    </xf>
    <xf numFmtId="0" fontId="7" fillId="4" borderId="1" xfId="0" applyFont="1" applyFill="1" applyBorder="1" applyAlignment="1">
      <alignment vertical="top" wrapText="1"/>
    </xf>
    <xf numFmtId="0" fontId="8" fillId="5"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7" fillId="0" borderId="1" xfId="0" applyFont="1" applyBorder="1" applyAlignment="1">
      <alignment vertical="top" wrapText="1"/>
    </xf>
    <xf numFmtId="0" fontId="10" fillId="6" borderId="1" xfId="0" applyFont="1" applyFill="1" applyBorder="1" applyAlignment="1">
      <alignment vertical="top" wrapText="1"/>
    </xf>
    <xf numFmtId="0" fontId="7" fillId="0" borderId="1" xfId="0" applyFont="1" applyBorder="1" applyAlignment="1">
      <alignment horizontal="center" vertical="top"/>
    </xf>
    <xf numFmtId="0" fontId="8" fillId="7" borderId="1" xfId="0" applyFont="1" applyFill="1" applyBorder="1" applyAlignment="1">
      <alignment horizontal="center" vertical="top" wrapText="1"/>
    </xf>
    <xf numFmtId="0" fontId="9" fillId="7" borderId="1" xfId="0" applyFont="1" applyFill="1" applyBorder="1" applyAlignment="1">
      <alignment horizontal="center" vertical="top" wrapText="1"/>
    </xf>
    <xf numFmtId="0" fontId="8" fillId="6" borderId="1" xfId="0" applyFont="1" applyFill="1" applyBorder="1" applyAlignment="1">
      <alignment horizontal="center" vertical="top" wrapText="1"/>
    </xf>
    <xf numFmtId="0" fontId="9" fillId="6" borderId="1" xfId="0" applyFont="1" applyFill="1" applyBorder="1" applyAlignment="1">
      <alignment horizontal="center" vertical="top" wrapText="1"/>
    </xf>
    <xf numFmtId="0" fontId="8" fillId="8" borderId="1" xfId="0" applyFont="1" applyFill="1" applyBorder="1" applyAlignment="1">
      <alignment horizontal="center" vertical="top" wrapText="1"/>
    </xf>
    <xf numFmtId="0" fontId="9" fillId="8" borderId="1" xfId="0" applyFont="1" applyFill="1" applyBorder="1" applyAlignment="1">
      <alignment horizontal="center" vertical="top" wrapText="1"/>
    </xf>
    <xf numFmtId="0" fontId="11" fillId="0" borderId="0" xfId="0" applyFont="1"/>
    <xf numFmtId="0" fontId="12" fillId="0" borderId="1" xfId="0" applyFont="1" applyBorder="1" applyAlignment="1">
      <alignment vertical="center" wrapText="1"/>
    </xf>
    <xf numFmtId="0" fontId="9" fillId="0" borderId="1" xfId="0" applyFont="1" applyBorder="1" applyAlignment="1">
      <alignment horizontal="center" vertical="center"/>
    </xf>
    <xf numFmtId="2" fontId="9"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0" fontId="7" fillId="0" borderId="1" xfId="0" applyFont="1" applyBorder="1" applyAlignment="1">
      <alignment vertical="center" wrapText="1"/>
    </xf>
    <xf numFmtId="0" fontId="13" fillId="2" borderId="1" xfId="0" applyFont="1" applyFill="1" applyBorder="1"/>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164" fontId="14" fillId="2" borderId="1" xfId="0" applyNumberFormat="1" applyFont="1" applyFill="1" applyBorder="1" applyAlignment="1">
      <alignment horizontal="center" vertical="center"/>
    </xf>
    <xf numFmtId="0" fontId="15" fillId="2" borderId="1" xfId="0" applyFont="1" applyFill="1" applyBorder="1" applyAlignment="1">
      <alignment vertical="center" wrapText="1"/>
    </xf>
    <xf numFmtId="0" fontId="3" fillId="0" borderId="0" xfId="0" applyFont="1"/>
    <xf numFmtId="0" fontId="4" fillId="6" borderId="1" xfId="0" applyFont="1" applyFill="1" applyBorder="1"/>
    <xf numFmtId="0" fontId="9" fillId="0" borderId="1" xfId="0" applyFont="1" applyBorder="1" applyAlignment="1">
      <alignment horizontal="center"/>
    </xf>
    <xf numFmtId="0" fontId="4" fillId="5" borderId="1" xfId="0" applyFont="1" applyFill="1" applyBorder="1"/>
    <xf numFmtId="0" fontId="4" fillId="7" borderId="1" xfId="0" applyFont="1" applyFill="1" applyBorder="1"/>
    <xf numFmtId="0" fontId="4" fillId="8" borderId="1" xfId="0" applyFont="1" applyFill="1" applyBorder="1"/>
    <xf numFmtId="0" fontId="12" fillId="0" borderId="1" xfId="0" applyFont="1" applyBorder="1"/>
    <xf numFmtId="0" fontId="16" fillId="0" borderId="1" xfId="0" applyFont="1" applyBorder="1" applyAlignment="1">
      <alignment horizontal="center"/>
    </xf>
    <xf numFmtId="0" fontId="4" fillId="5" borderId="0" xfId="0" applyFont="1" applyFill="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0"/>
  <sheetViews>
    <sheetView showGridLines="0" topLeftCell="A9" workbookViewId="0"/>
  </sheetViews>
  <sheetFormatPr baseColWidth="10" defaultColWidth="8.88671875" defaultRowHeight="14.4" x14ac:dyDescent="0.3"/>
  <cols>
    <col min="1" max="1" width="4" customWidth="1"/>
    <col min="2" max="2" width="28" customWidth="1"/>
    <col min="3" max="3" width="100" customWidth="1"/>
  </cols>
  <sheetData>
    <row r="2" spans="2:3" ht="21" x14ac:dyDescent="0.4">
      <c r="B2" s="1" t="s">
        <v>0</v>
      </c>
    </row>
    <row r="3" spans="2:3" x14ac:dyDescent="0.3">
      <c r="B3" s="2" t="s">
        <v>1</v>
      </c>
    </row>
    <row r="5" spans="2:3" ht="15.6" x14ac:dyDescent="0.3">
      <c r="B5" s="3" t="s">
        <v>2</v>
      </c>
      <c r="C5" s="4"/>
    </row>
    <row r="6" spans="2:3" ht="40.049999999999997" customHeight="1" x14ac:dyDescent="0.3">
      <c r="B6" s="5" t="s">
        <v>3</v>
      </c>
      <c r="C6" s="4" t="s">
        <v>4</v>
      </c>
    </row>
    <row r="7" spans="2:3" ht="40.049999999999997" customHeight="1" x14ac:dyDescent="0.3">
      <c r="B7" s="5" t="s">
        <v>5</v>
      </c>
      <c r="C7" s="4" t="s">
        <v>6</v>
      </c>
    </row>
    <row r="8" spans="2:3" x14ac:dyDescent="0.3">
      <c r="B8" s="5"/>
      <c r="C8" s="4"/>
    </row>
    <row r="9" spans="2:3" ht="46.8" x14ac:dyDescent="0.3">
      <c r="B9" s="3" t="s">
        <v>7</v>
      </c>
      <c r="C9" s="4"/>
    </row>
    <row r="10" spans="2:3" ht="40.049999999999997" customHeight="1" x14ac:dyDescent="0.3">
      <c r="B10" s="5" t="s">
        <v>8</v>
      </c>
      <c r="C10" s="4" t="s">
        <v>9</v>
      </c>
    </row>
    <row r="11" spans="2:3" ht="40.049999999999997" customHeight="1" x14ac:dyDescent="0.3">
      <c r="B11" s="5" t="s">
        <v>10</v>
      </c>
      <c r="C11" s="4" t="s">
        <v>11</v>
      </c>
    </row>
    <row r="12" spans="2:3" ht="40.049999999999997" customHeight="1" x14ac:dyDescent="0.3">
      <c r="B12" s="5" t="s">
        <v>12</v>
      </c>
      <c r="C12" s="4" t="s">
        <v>13</v>
      </c>
    </row>
    <row r="13" spans="2:3" x14ac:dyDescent="0.3">
      <c r="B13" s="5"/>
      <c r="C13" s="4"/>
    </row>
    <row r="14" spans="2:3" ht="15.6" x14ac:dyDescent="0.3">
      <c r="B14" s="3" t="s">
        <v>14</v>
      </c>
      <c r="C14" s="4"/>
    </row>
    <row r="15" spans="2:3" ht="40.049999999999997" customHeight="1" x14ac:dyDescent="0.3">
      <c r="B15" s="5" t="s">
        <v>15</v>
      </c>
      <c r="C15" s="4" t="s">
        <v>16</v>
      </c>
    </row>
    <row r="16" spans="2:3" ht="40.049999999999997" customHeight="1" x14ac:dyDescent="0.3">
      <c r="B16" s="5" t="s">
        <v>17</v>
      </c>
      <c r="C16" s="4" t="s">
        <v>18</v>
      </c>
    </row>
    <row r="17" spans="2:3" ht="40.049999999999997" customHeight="1" x14ac:dyDescent="0.3">
      <c r="B17" s="5" t="s">
        <v>19</v>
      </c>
      <c r="C17" s="4" t="s">
        <v>20</v>
      </c>
    </row>
    <row r="18" spans="2:3" ht="40.049999999999997" customHeight="1" x14ac:dyDescent="0.3">
      <c r="B18" s="5" t="s">
        <v>21</v>
      </c>
      <c r="C18" s="4" t="s">
        <v>22</v>
      </c>
    </row>
    <row r="19" spans="2:3" ht="40.049999999999997" customHeight="1" x14ac:dyDescent="0.3">
      <c r="B19" s="5" t="s">
        <v>23</v>
      </c>
      <c r="C19" s="4" t="s">
        <v>24</v>
      </c>
    </row>
    <row r="20" spans="2:3" ht="40.049999999999997" customHeight="1" x14ac:dyDescent="0.3">
      <c r="B20" s="5" t="s">
        <v>25</v>
      </c>
      <c r="C20" s="4"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
  <sheetViews>
    <sheetView showGridLines="0" tabSelected="1" workbookViewId="0">
      <pane xSplit="2" ySplit="4" topLeftCell="G45" activePane="bottomRight" state="frozen"/>
      <selection pane="topRight"/>
      <selection pane="bottomLeft"/>
      <selection pane="bottomRight" activeCell="I47" sqref="I47"/>
    </sheetView>
  </sheetViews>
  <sheetFormatPr baseColWidth="10" defaultColWidth="8.88671875" defaultRowHeight="14.4" x14ac:dyDescent="0.3"/>
  <cols>
    <col min="1" max="1" width="7" customWidth="1"/>
    <col min="2" max="2" width="22" customWidth="1"/>
    <col min="3" max="3" width="44" customWidth="1"/>
    <col min="4" max="4" width="60" customWidth="1"/>
    <col min="5" max="5" width="15" customWidth="1"/>
    <col min="6" max="6" width="8" customWidth="1"/>
    <col min="7" max="8" width="62" customWidth="1"/>
    <col min="9" max="9" width="60" customWidth="1"/>
    <col min="10" max="10" width="11" customWidth="1"/>
    <col min="11" max="11" width="15" customWidth="1"/>
    <col min="12" max="12" width="13" customWidth="1"/>
  </cols>
  <sheetData>
    <row r="1" spans="1:12" ht="21" x14ac:dyDescent="0.4">
      <c r="A1" s="1" t="s">
        <v>27</v>
      </c>
    </row>
    <row r="2" spans="1:12" x14ac:dyDescent="0.3">
      <c r="A2" s="2" t="s">
        <v>28</v>
      </c>
    </row>
    <row r="4" spans="1:12" ht="36" customHeight="1" x14ac:dyDescent="0.3">
      <c r="A4" s="6" t="s">
        <v>29</v>
      </c>
      <c r="B4" s="6" t="s">
        <v>30</v>
      </c>
      <c r="C4" s="6" t="s">
        <v>31</v>
      </c>
      <c r="D4" s="6" t="s">
        <v>32</v>
      </c>
      <c r="E4" s="6" t="s">
        <v>33</v>
      </c>
      <c r="F4" s="6" t="s">
        <v>34</v>
      </c>
      <c r="G4" s="6" t="s">
        <v>35</v>
      </c>
      <c r="H4" s="6" t="s">
        <v>36</v>
      </c>
      <c r="I4" s="6" t="s">
        <v>304</v>
      </c>
      <c r="J4" s="6" t="s">
        <v>37</v>
      </c>
      <c r="K4" s="6" t="s">
        <v>38</v>
      </c>
      <c r="L4" s="6" t="s">
        <v>39</v>
      </c>
    </row>
    <row r="5" spans="1:12" ht="105" customHeight="1" x14ac:dyDescent="0.3">
      <c r="A5" s="7" t="s">
        <v>40</v>
      </c>
      <c r="B5" s="8" t="s">
        <v>41</v>
      </c>
      <c r="C5" s="9" t="s">
        <v>42</v>
      </c>
      <c r="D5" s="10" t="s">
        <v>43</v>
      </c>
      <c r="E5" s="11" t="s">
        <v>44</v>
      </c>
      <c r="F5" s="12">
        <v>3</v>
      </c>
      <c r="G5" s="13" t="s">
        <v>45</v>
      </c>
      <c r="H5" s="14" t="s">
        <v>46</v>
      </c>
      <c r="I5" s="10" t="s">
        <v>306</v>
      </c>
      <c r="J5" s="11" t="s">
        <v>47</v>
      </c>
      <c r="K5" s="15" t="s">
        <v>48</v>
      </c>
      <c r="L5" s="15" t="s">
        <v>49</v>
      </c>
    </row>
    <row r="6" spans="1:12" ht="105" customHeight="1" x14ac:dyDescent="0.3">
      <c r="A6" s="7" t="s">
        <v>50</v>
      </c>
      <c r="B6" s="8" t="s">
        <v>41</v>
      </c>
      <c r="C6" s="9" t="s">
        <v>51</v>
      </c>
      <c r="D6" s="10" t="s">
        <v>52</v>
      </c>
      <c r="E6" s="11" t="s">
        <v>44</v>
      </c>
      <c r="F6" s="12">
        <v>4</v>
      </c>
      <c r="G6" s="13" t="s">
        <v>53</v>
      </c>
      <c r="H6" s="14" t="s">
        <v>54</v>
      </c>
      <c r="I6" s="10" t="s">
        <v>305</v>
      </c>
      <c r="J6" s="11" t="s">
        <v>55</v>
      </c>
      <c r="K6" s="15" t="s">
        <v>48</v>
      </c>
      <c r="L6" s="15" t="s">
        <v>49</v>
      </c>
    </row>
    <row r="7" spans="1:12" ht="118.05" customHeight="1" x14ac:dyDescent="0.3">
      <c r="A7" s="7" t="s">
        <v>56</v>
      </c>
      <c r="B7" s="8" t="s">
        <v>57</v>
      </c>
      <c r="C7" s="9" t="s">
        <v>58</v>
      </c>
      <c r="D7" s="10" t="s">
        <v>59</v>
      </c>
      <c r="E7" s="11" t="s">
        <v>44</v>
      </c>
      <c r="F7" s="12">
        <v>3</v>
      </c>
      <c r="G7" s="13" t="s">
        <v>60</v>
      </c>
      <c r="H7" s="14" t="s">
        <v>61</v>
      </c>
      <c r="I7" s="10" t="s">
        <v>307</v>
      </c>
      <c r="J7" s="11" t="s">
        <v>62</v>
      </c>
      <c r="K7" s="15" t="s">
        <v>48</v>
      </c>
      <c r="L7" s="15" t="s">
        <v>49</v>
      </c>
    </row>
    <row r="8" spans="1:12" ht="118.05" customHeight="1" x14ac:dyDescent="0.3">
      <c r="A8" s="7" t="s">
        <v>63</v>
      </c>
      <c r="B8" s="8" t="s">
        <v>57</v>
      </c>
      <c r="C8" s="9" t="s">
        <v>64</v>
      </c>
      <c r="D8" s="10" t="s">
        <v>65</v>
      </c>
      <c r="E8" s="11" t="s">
        <v>44</v>
      </c>
      <c r="F8" s="12">
        <v>4</v>
      </c>
      <c r="G8" s="13" t="s">
        <v>66</v>
      </c>
      <c r="H8" s="14" t="s">
        <v>67</v>
      </c>
      <c r="I8" s="10" t="s">
        <v>308</v>
      </c>
      <c r="J8" s="11" t="s">
        <v>62</v>
      </c>
      <c r="K8" s="15" t="s">
        <v>48</v>
      </c>
      <c r="L8" s="15" t="s">
        <v>49</v>
      </c>
    </row>
    <row r="9" spans="1:12" ht="105" customHeight="1" x14ac:dyDescent="0.3">
      <c r="A9" s="7" t="s">
        <v>68</v>
      </c>
      <c r="B9" s="8" t="s">
        <v>57</v>
      </c>
      <c r="C9" s="9" t="s">
        <v>69</v>
      </c>
      <c r="D9" s="10" t="s">
        <v>70</v>
      </c>
      <c r="E9" s="11" t="s">
        <v>44</v>
      </c>
      <c r="F9" s="12">
        <v>3</v>
      </c>
      <c r="G9" s="13" t="s">
        <v>71</v>
      </c>
      <c r="H9" s="14" t="s">
        <v>72</v>
      </c>
      <c r="I9" s="10" t="s">
        <v>309</v>
      </c>
      <c r="J9" s="11" t="s">
        <v>55</v>
      </c>
      <c r="K9" s="15" t="s">
        <v>48</v>
      </c>
      <c r="L9" s="15" t="s">
        <v>49</v>
      </c>
    </row>
    <row r="10" spans="1:12" ht="91.95" customHeight="1" x14ac:dyDescent="0.3">
      <c r="A10" s="7" t="s">
        <v>73</v>
      </c>
      <c r="B10" s="8" t="s">
        <v>57</v>
      </c>
      <c r="C10" s="9" t="s">
        <v>74</v>
      </c>
      <c r="D10" s="10" t="s">
        <v>75</v>
      </c>
      <c r="E10" s="16" t="s">
        <v>76</v>
      </c>
      <c r="F10" s="17">
        <v>2</v>
      </c>
      <c r="G10" s="13" t="s">
        <v>77</v>
      </c>
      <c r="H10" s="14" t="s">
        <v>78</v>
      </c>
      <c r="I10" s="10" t="s">
        <v>318</v>
      </c>
      <c r="J10" s="16" t="s">
        <v>62</v>
      </c>
      <c r="K10" s="15" t="s">
        <v>48</v>
      </c>
      <c r="L10" s="15" t="s">
        <v>49</v>
      </c>
    </row>
    <row r="11" spans="1:12" ht="79.05" customHeight="1" x14ac:dyDescent="0.3">
      <c r="A11" s="7" t="s">
        <v>79</v>
      </c>
      <c r="B11" s="8" t="s">
        <v>57</v>
      </c>
      <c r="C11" s="9" t="s">
        <v>80</v>
      </c>
      <c r="D11" s="10" t="s">
        <v>81</v>
      </c>
      <c r="E11" s="18" t="s">
        <v>82</v>
      </c>
      <c r="F11" s="19">
        <v>4</v>
      </c>
      <c r="G11" s="13" t="s">
        <v>83</v>
      </c>
      <c r="H11" s="14" t="s">
        <v>84</v>
      </c>
      <c r="I11" s="10" t="s">
        <v>310</v>
      </c>
      <c r="J11" s="18" t="s">
        <v>62</v>
      </c>
      <c r="K11" s="15" t="s">
        <v>48</v>
      </c>
      <c r="L11" s="15" t="s">
        <v>49</v>
      </c>
    </row>
    <row r="12" spans="1:12" ht="91.95" customHeight="1" x14ac:dyDescent="0.3">
      <c r="A12" s="7" t="s">
        <v>85</v>
      </c>
      <c r="B12" s="8" t="s">
        <v>57</v>
      </c>
      <c r="C12" s="9" t="s">
        <v>86</v>
      </c>
      <c r="D12" s="10" t="s">
        <v>87</v>
      </c>
      <c r="E12" s="18" t="s">
        <v>82</v>
      </c>
      <c r="F12" s="19">
        <v>4</v>
      </c>
      <c r="G12" s="13" t="s">
        <v>88</v>
      </c>
      <c r="H12" s="14" t="s">
        <v>89</v>
      </c>
      <c r="I12" s="10" t="s">
        <v>311</v>
      </c>
      <c r="J12" s="18" t="s">
        <v>62</v>
      </c>
      <c r="K12" s="15" t="s">
        <v>48</v>
      </c>
      <c r="L12" s="15" t="s">
        <v>49</v>
      </c>
    </row>
    <row r="13" spans="1:12" ht="91.95" customHeight="1" x14ac:dyDescent="0.3">
      <c r="A13" s="7" t="s">
        <v>90</v>
      </c>
      <c r="B13" s="8" t="s">
        <v>57</v>
      </c>
      <c r="C13" s="9" t="s">
        <v>91</v>
      </c>
      <c r="D13" s="10" t="s">
        <v>92</v>
      </c>
      <c r="E13" s="11" t="s">
        <v>44</v>
      </c>
      <c r="F13" s="12">
        <v>3</v>
      </c>
      <c r="G13" s="13" t="s">
        <v>93</v>
      </c>
      <c r="H13" s="14" t="s">
        <v>94</v>
      </c>
      <c r="I13" s="10" t="s">
        <v>312</v>
      </c>
      <c r="J13" s="11" t="s">
        <v>62</v>
      </c>
      <c r="K13" s="15" t="s">
        <v>48</v>
      </c>
      <c r="L13" s="15" t="s">
        <v>49</v>
      </c>
    </row>
    <row r="14" spans="1:12" ht="91.95" customHeight="1" x14ac:dyDescent="0.3">
      <c r="A14" s="7" t="s">
        <v>95</v>
      </c>
      <c r="B14" s="8" t="s">
        <v>96</v>
      </c>
      <c r="C14" s="9" t="s">
        <v>97</v>
      </c>
      <c r="D14" s="10" t="s">
        <v>98</v>
      </c>
      <c r="E14" s="20" t="s">
        <v>99</v>
      </c>
      <c r="F14" s="21">
        <v>2</v>
      </c>
      <c r="G14" s="13" t="s">
        <v>100</v>
      </c>
      <c r="H14" s="14" t="s">
        <v>101</v>
      </c>
      <c r="I14" s="10"/>
      <c r="J14" s="20" t="s">
        <v>47</v>
      </c>
      <c r="K14" s="15" t="s">
        <v>48</v>
      </c>
      <c r="L14" s="15" t="s">
        <v>49</v>
      </c>
    </row>
    <row r="15" spans="1:12" ht="130.94999999999999" customHeight="1" x14ac:dyDescent="0.3">
      <c r="A15" s="7" t="s">
        <v>102</v>
      </c>
      <c r="B15" s="8" t="s">
        <v>96</v>
      </c>
      <c r="C15" s="9" t="s">
        <v>103</v>
      </c>
      <c r="D15" s="10" t="s">
        <v>104</v>
      </c>
      <c r="E15" s="18" t="s">
        <v>82</v>
      </c>
      <c r="F15" s="19">
        <v>4</v>
      </c>
      <c r="G15" s="13" t="s">
        <v>105</v>
      </c>
      <c r="H15" s="14" t="s">
        <v>106</v>
      </c>
      <c r="I15" s="10" t="s">
        <v>313</v>
      </c>
      <c r="J15" s="18" t="s">
        <v>62</v>
      </c>
      <c r="K15" s="15" t="s">
        <v>48</v>
      </c>
      <c r="L15" s="15" t="s">
        <v>49</v>
      </c>
    </row>
    <row r="16" spans="1:12" ht="118.05" customHeight="1" x14ac:dyDescent="0.3">
      <c r="A16" s="7" t="s">
        <v>107</v>
      </c>
      <c r="B16" s="8" t="s">
        <v>96</v>
      </c>
      <c r="C16" s="9" t="s">
        <v>108</v>
      </c>
      <c r="D16" s="10" t="s">
        <v>109</v>
      </c>
      <c r="E16" s="11" t="s">
        <v>44</v>
      </c>
      <c r="F16" s="12">
        <v>3</v>
      </c>
      <c r="G16" s="13" t="s">
        <v>110</v>
      </c>
      <c r="H16" s="14" t="s">
        <v>111</v>
      </c>
      <c r="I16" s="10" t="s">
        <v>314</v>
      </c>
      <c r="J16" s="11" t="s">
        <v>47</v>
      </c>
      <c r="K16" s="15" t="s">
        <v>48</v>
      </c>
      <c r="L16" s="15" t="s">
        <v>49</v>
      </c>
    </row>
    <row r="17" spans="1:12" ht="91.95" customHeight="1" x14ac:dyDescent="0.3">
      <c r="A17" s="7" t="s">
        <v>112</v>
      </c>
      <c r="B17" s="8" t="s">
        <v>96</v>
      </c>
      <c r="C17" s="9" t="s">
        <v>113</v>
      </c>
      <c r="D17" s="10" t="s">
        <v>114</v>
      </c>
      <c r="E17" s="16" t="s">
        <v>76</v>
      </c>
      <c r="F17" s="17">
        <v>2</v>
      </c>
      <c r="G17" s="13" t="s">
        <v>115</v>
      </c>
      <c r="H17" s="14" t="s">
        <v>116</v>
      </c>
      <c r="I17" s="10" t="s">
        <v>315</v>
      </c>
      <c r="J17" s="16" t="s">
        <v>62</v>
      </c>
      <c r="K17" s="15" t="s">
        <v>48</v>
      </c>
      <c r="L17" s="15" t="s">
        <v>49</v>
      </c>
    </row>
    <row r="18" spans="1:12" ht="118.05" customHeight="1" x14ac:dyDescent="0.3">
      <c r="A18" s="7" t="s">
        <v>117</v>
      </c>
      <c r="B18" s="8" t="s">
        <v>96</v>
      </c>
      <c r="C18" s="9" t="s">
        <v>118</v>
      </c>
      <c r="D18" s="10" t="s">
        <v>119</v>
      </c>
      <c r="E18" s="18" t="s">
        <v>82</v>
      </c>
      <c r="F18" s="19">
        <v>4</v>
      </c>
      <c r="G18" s="13" t="s">
        <v>120</v>
      </c>
      <c r="H18" s="14" t="s">
        <v>121</v>
      </c>
      <c r="I18" s="10" t="s">
        <v>316</v>
      </c>
      <c r="J18" s="18" t="s">
        <v>55</v>
      </c>
      <c r="K18" s="15" t="s">
        <v>48</v>
      </c>
      <c r="L18" s="15" t="s">
        <v>49</v>
      </c>
    </row>
    <row r="19" spans="1:12" ht="91.95" customHeight="1" x14ac:dyDescent="0.3">
      <c r="A19" s="7" t="s">
        <v>122</v>
      </c>
      <c r="B19" s="8" t="s">
        <v>96</v>
      </c>
      <c r="C19" s="9" t="s">
        <v>123</v>
      </c>
      <c r="D19" s="10" t="s">
        <v>124</v>
      </c>
      <c r="E19" s="11" t="s">
        <v>44</v>
      </c>
      <c r="F19" s="12">
        <v>3</v>
      </c>
      <c r="G19" s="13" t="s">
        <v>125</v>
      </c>
      <c r="H19" s="14" t="s">
        <v>126</v>
      </c>
      <c r="I19" s="10" t="s">
        <v>317</v>
      </c>
      <c r="J19" s="11" t="s">
        <v>62</v>
      </c>
      <c r="K19" s="15" t="s">
        <v>48</v>
      </c>
      <c r="L19" s="15" t="s">
        <v>49</v>
      </c>
    </row>
    <row r="20" spans="1:12" ht="229.95" customHeight="1" x14ac:dyDescent="0.3">
      <c r="A20" s="7" t="s">
        <v>127</v>
      </c>
      <c r="B20" s="8" t="s">
        <v>128</v>
      </c>
      <c r="C20" s="9" t="s">
        <v>129</v>
      </c>
      <c r="D20" s="10" t="s">
        <v>130</v>
      </c>
      <c r="E20" s="11" t="s">
        <v>44</v>
      </c>
      <c r="F20" s="12">
        <v>3</v>
      </c>
      <c r="G20" s="13" t="s">
        <v>131</v>
      </c>
      <c r="H20" s="14" t="s">
        <v>132</v>
      </c>
      <c r="I20" s="10" t="s">
        <v>319</v>
      </c>
      <c r="J20" s="11" t="s">
        <v>47</v>
      </c>
      <c r="K20" s="15" t="s">
        <v>48</v>
      </c>
      <c r="L20" s="15" t="s">
        <v>49</v>
      </c>
    </row>
    <row r="21" spans="1:12" ht="105" customHeight="1" x14ac:dyDescent="0.3">
      <c r="A21" s="7" t="s">
        <v>133</v>
      </c>
      <c r="B21" s="8" t="s">
        <v>128</v>
      </c>
      <c r="C21" s="9" t="s">
        <v>134</v>
      </c>
      <c r="D21" s="10" t="s">
        <v>135</v>
      </c>
      <c r="E21" s="16" t="s">
        <v>136</v>
      </c>
      <c r="F21" s="17">
        <v>2</v>
      </c>
      <c r="G21" s="13" t="s">
        <v>137</v>
      </c>
      <c r="H21" s="14" t="s">
        <v>138</v>
      </c>
      <c r="I21" s="10"/>
      <c r="J21" s="16" t="s">
        <v>47</v>
      </c>
      <c r="K21" s="15" t="s">
        <v>48</v>
      </c>
      <c r="L21" s="15" t="s">
        <v>49</v>
      </c>
    </row>
    <row r="22" spans="1:12" ht="118.05" customHeight="1" x14ac:dyDescent="0.3">
      <c r="A22" s="7" t="s">
        <v>139</v>
      </c>
      <c r="B22" s="8" t="s">
        <v>128</v>
      </c>
      <c r="C22" s="9" t="s">
        <v>140</v>
      </c>
      <c r="D22" s="10" t="s">
        <v>141</v>
      </c>
      <c r="E22" s="16" t="s">
        <v>136</v>
      </c>
      <c r="F22" s="17">
        <v>2</v>
      </c>
      <c r="G22" s="13" t="s">
        <v>142</v>
      </c>
      <c r="H22" s="14" t="s">
        <v>143</v>
      </c>
      <c r="I22" s="10" t="s">
        <v>320</v>
      </c>
      <c r="J22" s="16" t="s">
        <v>47</v>
      </c>
      <c r="K22" s="15" t="s">
        <v>48</v>
      </c>
      <c r="L22" s="15" t="s">
        <v>49</v>
      </c>
    </row>
    <row r="23" spans="1:12" ht="79.05" customHeight="1" x14ac:dyDescent="0.3">
      <c r="A23" s="7" t="s">
        <v>144</v>
      </c>
      <c r="B23" s="8" t="s">
        <v>128</v>
      </c>
      <c r="C23" s="9" t="s">
        <v>145</v>
      </c>
      <c r="D23" s="10" t="s">
        <v>146</v>
      </c>
      <c r="E23" s="11" t="s">
        <v>44</v>
      </c>
      <c r="F23" s="12">
        <v>2</v>
      </c>
      <c r="G23" s="13" t="s">
        <v>147</v>
      </c>
      <c r="H23" s="14" t="s">
        <v>148</v>
      </c>
      <c r="I23" s="10" t="s">
        <v>321</v>
      </c>
      <c r="J23" s="11" t="s">
        <v>47</v>
      </c>
      <c r="K23" s="15" t="s">
        <v>48</v>
      </c>
      <c r="L23" s="15" t="s">
        <v>49</v>
      </c>
    </row>
    <row r="24" spans="1:12" ht="105" customHeight="1" x14ac:dyDescent="0.3">
      <c r="A24" s="7" t="s">
        <v>149</v>
      </c>
      <c r="B24" s="8" t="s">
        <v>128</v>
      </c>
      <c r="C24" s="9" t="s">
        <v>150</v>
      </c>
      <c r="D24" s="10" t="s">
        <v>151</v>
      </c>
      <c r="E24" s="11" t="s">
        <v>44</v>
      </c>
      <c r="F24" s="12">
        <v>3</v>
      </c>
      <c r="G24" s="13" t="s">
        <v>152</v>
      </c>
      <c r="H24" s="14" t="s">
        <v>153</v>
      </c>
      <c r="I24" s="10"/>
      <c r="J24" s="11" t="s">
        <v>62</v>
      </c>
      <c r="K24" s="15" t="s">
        <v>48</v>
      </c>
      <c r="L24" s="15" t="s">
        <v>49</v>
      </c>
    </row>
    <row r="25" spans="1:12" ht="79.05" customHeight="1" x14ac:dyDescent="0.3">
      <c r="A25" s="7" t="s">
        <v>154</v>
      </c>
      <c r="B25" s="8" t="s">
        <v>128</v>
      </c>
      <c r="C25" s="9" t="s">
        <v>155</v>
      </c>
      <c r="D25" s="10" t="s">
        <v>156</v>
      </c>
      <c r="E25" s="18" t="s">
        <v>82</v>
      </c>
      <c r="F25" s="19">
        <v>4</v>
      </c>
      <c r="G25" s="13" t="s">
        <v>157</v>
      </c>
      <c r="H25" s="14" t="s">
        <v>158</v>
      </c>
      <c r="I25" s="10" t="s">
        <v>322</v>
      </c>
      <c r="J25" s="18" t="s">
        <v>62</v>
      </c>
      <c r="K25" s="15" t="s">
        <v>48</v>
      </c>
      <c r="L25" s="15" t="s">
        <v>49</v>
      </c>
    </row>
    <row r="26" spans="1:12" ht="91.95" customHeight="1" x14ac:dyDescent="0.3">
      <c r="A26" s="7" t="s">
        <v>159</v>
      </c>
      <c r="B26" s="8" t="s">
        <v>128</v>
      </c>
      <c r="C26" s="9" t="s">
        <v>160</v>
      </c>
      <c r="D26" s="10" t="s">
        <v>161</v>
      </c>
      <c r="E26" s="18" t="s">
        <v>82</v>
      </c>
      <c r="F26" s="19">
        <v>4</v>
      </c>
      <c r="G26" s="13" t="s">
        <v>162</v>
      </c>
      <c r="H26" s="14" t="s">
        <v>163</v>
      </c>
      <c r="I26" s="10" t="s">
        <v>323</v>
      </c>
      <c r="J26" s="18" t="s">
        <v>55</v>
      </c>
      <c r="K26" s="15" t="s">
        <v>48</v>
      </c>
      <c r="L26" s="15" t="s">
        <v>49</v>
      </c>
    </row>
    <row r="27" spans="1:12" ht="79.05" customHeight="1" x14ac:dyDescent="0.3">
      <c r="A27" s="7" t="s">
        <v>164</v>
      </c>
      <c r="B27" s="8" t="s">
        <v>128</v>
      </c>
      <c r="C27" s="9" t="s">
        <v>165</v>
      </c>
      <c r="D27" s="10" t="s">
        <v>166</v>
      </c>
      <c r="E27" s="11" t="s">
        <v>44</v>
      </c>
      <c r="F27" s="12">
        <v>3</v>
      </c>
      <c r="G27" s="13" t="s">
        <v>167</v>
      </c>
      <c r="H27" s="14" t="s">
        <v>168</v>
      </c>
      <c r="I27" s="10" t="s">
        <v>324</v>
      </c>
      <c r="J27" s="11" t="s">
        <v>62</v>
      </c>
      <c r="K27" s="15" t="s">
        <v>48</v>
      </c>
      <c r="L27" s="15" t="s">
        <v>49</v>
      </c>
    </row>
    <row r="28" spans="1:12" ht="66" customHeight="1" x14ac:dyDescent="0.3">
      <c r="A28" s="7" t="s">
        <v>169</v>
      </c>
      <c r="B28" s="8" t="s">
        <v>128</v>
      </c>
      <c r="C28" s="9" t="s">
        <v>170</v>
      </c>
      <c r="D28" s="10" t="s">
        <v>171</v>
      </c>
      <c r="E28" s="11" t="s">
        <v>44</v>
      </c>
      <c r="F28" s="12">
        <v>3</v>
      </c>
      <c r="G28" s="13" t="s">
        <v>172</v>
      </c>
      <c r="H28" s="14" t="s">
        <v>173</v>
      </c>
      <c r="I28" s="10" t="s">
        <v>325</v>
      </c>
      <c r="J28" s="11" t="s">
        <v>62</v>
      </c>
      <c r="K28" s="15" t="s">
        <v>48</v>
      </c>
      <c r="L28" s="15" t="s">
        <v>49</v>
      </c>
    </row>
    <row r="29" spans="1:12" ht="105" customHeight="1" x14ac:dyDescent="0.3">
      <c r="A29" s="7" t="s">
        <v>174</v>
      </c>
      <c r="B29" s="8" t="s">
        <v>128</v>
      </c>
      <c r="C29" s="9" t="s">
        <v>175</v>
      </c>
      <c r="D29" s="10" t="s">
        <v>176</v>
      </c>
      <c r="E29" s="11" t="s">
        <v>44</v>
      </c>
      <c r="F29" s="12">
        <v>3</v>
      </c>
      <c r="G29" s="13" t="s">
        <v>177</v>
      </c>
      <c r="H29" s="14" t="s">
        <v>178</v>
      </c>
      <c r="I29" s="10" t="s">
        <v>326</v>
      </c>
      <c r="J29" s="11" t="s">
        <v>47</v>
      </c>
      <c r="K29" s="15" t="s">
        <v>48</v>
      </c>
      <c r="L29" s="15" t="s">
        <v>49</v>
      </c>
    </row>
    <row r="30" spans="1:12" ht="118.05" customHeight="1" x14ac:dyDescent="0.3">
      <c r="A30" s="7" t="s">
        <v>179</v>
      </c>
      <c r="B30" s="8" t="s">
        <v>128</v>
      </c>
      <c r="C30" s="9" t="s">
        <v>180</v>
      </c>
      <c r="D30" s="10" t="s">
        <v>181</v>
      </c>
      <c r="E30" s="11" t="s">
        <v>44</v>
      </c>
      <c r="F30" s="12">
        <v>2</v>
      </c>
      <c r="G30" s="13" t="s">
        <v>182</v>
      </c>
      <c r="H30" s="14" t="s">
        <v>183</v>
      </c>
      <c r="I30" s="10" t="s">
        <v>327</v>
      </c>
      <c r="J30" s="11" t="s">
        <v>62</v>
      </c>
      <c r="K30" s="15" t="s">
        <v>48</v>
      </c>
      <c r="L30" s="15" t="s">
        <v>49</v>
      </c>
    </row>
    <row r="31" spans="1:12" ht="130.94999999999999" customHeight="1" x14ac:dyDescent="0.3">
      <c r="A31" s="7" t="s">
        <v>184</v>
      </c>
      <c r="B31" s="8" t="s">
        <v>185</v>
      </c>
      <c r="C31" s="9" t="s">
        <v>186</v>
      </c>
      <c r="D31" s="10" t="s">
        <v>187</v>
      </c>
      <c r="E31" s="11" t="s">
        <v>44</v>
      </c>
      <c r="F31" s="12">
        <v>4</v>
      </c>
      <c r="G31" s="13" t="s">
        <v>188</v>
      </c>
      <c r="H31" s="14" t="s">
        <v>189</v>
      </c>
      <c r="I31" s="10" t="s">
        <v>328</v>
      </c>
      <c r="J31" s="11" t="s">
        <v>62</v>
      </c>
      <c r="K31" s="15" t="s">
        <v>48</v>
      </c>
      <c r="L31" s="15" t="s">
        <v>49</v>
      </c>
    </row>
    <row r="32" spans="1:12" ht="130.94999999999999" customHeight="1" x14ac:dyDescent="0.3">
      <c r="A32" s="7" t="s">
        <v>190</v>
      </c>
      <c r="B32" s="8" t="s">
        <v>185</v>
      </c>
      <c r="C32" s="9" t="s">
        <v>191</v>
      </c>
      <c r="D32" s="10" t="s">
        <v>192</v>
      </c>
      <c r="E32" s="18" t="s">
        <v>82</v>
      </c>
      <c r="F32" s="19">
        <v>4</v>
      </c>
      <c r="G32" s="13" t="s">
        <v>193</v>
      </c>
      <c r="H32" s="14" t="s">
        <v>194</v>
      </c>
      <c r="I32" s="10" t="s">
        <v>329</v>
      </c>
      <c r="J32" s="18" t="s">
        <v>55</v>
      </c>
      <c r="K32" s="15" t="s">
        <v>48</v>
      </c>
      <c r="L32" s="15" t="s">
        <v>49</v>
      </c>
    </row>
    <row r="33" spans="1:12" ht="118.05" customHeight="1" x14ac:dyDescent="0.3">
      <c r="A33" s="7" t="s">
        <v>195</v>
      </c>
      <c r="B33" s="8" t="s">
        <v>185</v>
      </c>
      <c r="C33" s="9" t="s">
        <v>196</v>
      </c>
      <c r="D33" s="10" t="s">
        <v>197</v>
      </c>
      <c r="E33" s="18" t="s">
        <v>82</v>
      </c>
      <c r="F33" s="19">
        <v>5</v>
      </c>
      <c r="G33" s="13" t="s">
        <v>198</v>
      </c>
      <c r="H33" s="14" t="s">
        <v>199</v>
      </c>
      <c r="I33" s="10" t="s">
        <v>330</v>
      </c>
      <c r="J33" s="18" t="s">
        <v>55</v>
      </c>
      <c r="K33" s="15" t="s">
        <v>48</v>
      </c>
      <c r="L33" s="15" t="s">
        <v>49</v>
      </c>
    </row>
    <row r="34" spans="1:12" ht="91.95" customHeight="1" x14ac:dyDescent="0.3">
      <c r="A34" s="7" t="s">
        <v>200</v>
      </c>
      <c r="B34" s="8" t="s">
        <v>185</v>
      </c>
      <c r="C34" s="9" t="s">
        <v>201</v>
      </c>
      <c r="D34" s="10" t="s">
        <v>202</v>
      </c>
      <c r="E34" s="20" t="s">
        <v>203</v>
      </c>
      <c r="F34" s="21">
        <v>3</v>
      </c>
      <c r="G34" s="13" t="s">
        <v>204</v>
      </c>
      <c r="H34" s="14" t="s">
        <v>205</v>
      </c>
      <c r="I34" s="10" t="s">
        <v>331</v>
      </c>
      <c r="J34" s="20" t="s">
        <v>47</v>
      </c>
      <c r="K34" s="15" t="s">
        <v>48</v>
      </c>
      <c r="L34" s="15" t="s">
        <v>49</v>
      </c>
    </row>
    <row r="35" spans="1:12" ht="91.95" customHeight="1" x14ac:dyDescent="0.3">
      <c r="A35" s="7" t="s">
        <v>206</v>
      </c>
      <c r="B35" s="8" t="s">
        <v>185</v>
      </c>
      <c r="C35" s="9" t="s">
        <v>207</v>
      </c>
      <c r="D35" s="10" t="s">
        <v>208</v>
      </c>
      <c r="E35" s="20" t="s">
        <v>203</v>
      </c>
      <c r="F35" s="21">
        <v>3</v>
      </c>
      <c r="G35" s="13" t="s">
        <v>209</v>
      </c>
      <c r="H35" s="14" t="s">
        <v>210</v>
      </c>
      <c r="I35" s="10" t="s">
        <v>332</v>
      </c>
      <c r="J35" s="20" t="s">
        <v>47</v>
      </c>
      <c r="K35" s="15" t="s">
        <v>48</v>
      </c>
      <c r="L35" s="15" t="s">
        <v>49</v>
      </c>
    </row>
    <row r="36" spans="1:12" ht="79.05" customHeight="1" x14ac:dyDescent="0.3">
      <c r="A36" s="7" t="s">
        <v>211</v>
      </c>
      <c r="B36" s="8" t="s">
        <v>185</v>
      </c>
      <c r="C36" s="9" t="s">
        <v>212</v>
      </c>
      <c r="D36" s="10" t="s">
        <v>213</v>
      </c>
      <c r="E36" s="11" t="s">
        <v>44</v>
      </c>
      <c r="F36" s="12">
        <v>3</v>
      </c>
      <c r="G36" s="13" t="s">
        <v>214</v>
      </c>
      <c r="H36" s="14" t="s">
        <v>215</v>
      </c>
      <c r="I36" s="10" t="s">
        <v>333</v>
      </c>
      <c r="J36" s="11" t="s">
        <v>55</v>
      </c>
      <c r="K36" s="15" t="s">
        <v>48</v>
      </c>
      <c r="L36" s="15" t="s">
        <v>49</v>
      </c>
    </row>
    <row r="37" spans="1:12" ht="91.95" customHeight="1" x14ac:dyDescent="0.3">
      <c r="A37" s="7" t="s">
        <v>216</v>
      </c>
      <c r="B37" s="8" t="s">
        <v>185</v>
      </c>
      <c r="C37" s="9" t="s">
        <v>217</v>
      </c>
      <c r="D37" s="10" t="s">
        <v>218</v>
      </c>
      <c r="E37" s="18" t="s">
        <v>82</v>
      </c>
      <c r="F37" s="19">
        <v>5</v>
      </c>
      <c r="G37" s="13" t="s">
        <v>219</v>
      </c>
      <c r="H37" s="14" t="s">
        <v>220</v>
      </c>
      <c r="I37" s="10"/>
      <c r="J37" s="18" t="s">
        <v>47</v>
      </c>
      <c r="K37" s="15" t="s">
        <v>48</v>
      </c>
      <c r="L37" s="15" t="s">
        <v>49</v>
      </c>
    </row>
    <row r="38" spans="1:12" ht="91.95" customHeight="1" x14ac:dyDescent="0.3">
      <c r="A38" s="7" t="s">
        <v>221</v>
      </c>
      <c r="B38" s="8" t="s">
        <v>185</v>
      </c>
      <c r="C38" s="9" t="s">
        <v>222</v>
      </c>
      <c r="D38" s="10" t="s">
        <v>223</v>
      </c>
      <c r="E38" s="11" t="s">
        <v>44</v>
      </c>
      <c r="F38" s="12">
        <v>3</v>
      </c>
      <c r="G38" s="13" t="s">
        <v>224</v>
      </c>
      <c r="H38" s="14" t="s">
        <v>225</v>
      </c>
      <c r="I38" s="10" t="s">
        <v>334</v>
      </c>
      <c r="J38" s="11" t="s">
        <v>62</v>
      </c>
      <c r="K38" s="15" t="s">
        <v>48</v>
      </c>
      <c r="L38" s="15" t="s">
        <v>49</v>
      </c>
    </row>
    <row r="39" spans="1:12" ht="79.05" customHeight="1" x14ac:dyDescent="0.3">
      <c r="A39" s="7" t="s">
        <v>226</v>
      </c>
      <c r="B39" s="8" t="s">
        <v>227</v>
      </c>
      <c r="C39" s="9" t="s">
        <v>228</v>
      </c>
      <c r="D39" s="10" t="s">
        <v>229</v>
      </c>
      <c r="E39" s="18" t="s">
        <v>82</v>
      </c>
      <c r="F39" s="19">
        <v>4</v>
      </c>
      <c r="G39" s="13" t="s">
        <v>230</v>
      </c>
      <c r="H39" s="14" t="s">
        <v>231</v>
      </c>
      <c r="I39" s="10" t="s">
        <v>335</v>
      </c>
      <c r="J39" s="18" t="s">
        <v>232</v>
      </c>
      <c r="K39" s="15" t="s">
        <v>48</v>
      </c>
      <c r="L39" s="15" t="s">
        <v>49</v>
      </c>
    </row>
    <row r="40" spans="1:12" ht="91.95" customHeight="1" x14ac:dyDescent="0.3">
      <c r="A40" s="7" t="s">
        <v>233</v>
      </c>
      <c r="B40" s="8" t="s">
        <v>227</v>
      </c>
      <c r="C40" s="9" t="s">
        <v>234</v>
      </c>
      <c r="D40" s="10" t="s">
        <v>235</v>
      </c>
      <c r="E40" s="20" t="s">
        <v>203</v>
      </c>
      <c r="F40" s="21">
        <v>1</v>
      </c>
      <c r="G40" s="13" t="s">
        <v>236</v>
      </c>
      <c r="H40" s="14" t="s">
        <v>237</v>
      </c>
      <c r="I40" s="10"/>
      <c r="J40" s="20" t="s">
        <v>47</v>
      </c>
      <c r="K40" s="15" t="s">
        <v>48</v>
      </c>
      <c r="L40" s="15" t="s">
        <v>49</v>
      </c>
    </row>
    <row r="41" spans="1:12" ht="79.05" customHeight="1" x14ac:dyDescent="0.3">
      <c r="A41" s="7" t="s">
        <v>238</v>
      </c>
      <c r="B41" s="8" t="s">
        <v>227</v>
      </c>
      <c r="C41" s="9" t="s">
        <v>239</v>
      </c>
      <c r="D41" s="10" t="s">
        <v>240</v>
      </c>
      <c r="E41" s="11" t="s">
        <v>44</v>
      </c>
      <c r="F41" s="12">
        <v>2</v>
      </c>
      <c r="G41" s="13" t="s">
        <v>241</v>
      </c>
      <c r="H41" s="14" t="s">
        <v>242</v>
      </c>
      <c r="I41" s="10" t="s">
        <v>336</v>
      </c>
      <c r="J41" s="11" t="s">
        <v>62</v>
      </c>
      <c r="K41" s="15" t="s">
        <v>48</v>
      </c>
      <c r="L41" s="15" t="s">
        <v>49</v>
      </c>
    </row>
    <row r="42" spans="1:12" ht="66" customHeight="1" x14ac:dyDescent="0.3">
      <c r="A42" s="7" t="s">
        <v>243</v>
      </c>
      <c r="B42" s="8" t="s">
        <v>227</v>
      </c>
      <c r="C42" s="9" t="s">
        <v>244</v>
      </c>
      <c r="D42" s="10" t="s">
        <v>245</v>
      </c>
      <c r="E42" s="11" t="s">
        <v>44</v>
      </c>
      <c r="F42" s="12">
        <v>2</v>
      </c>
      <c r="G42" s="13" t="s">
        <v>246</v>
      </c>
      <c r="H42" s="14" t="s">
        <v>247</v>
      </c>
      <c r="I42" s="10"/>
      <c r="J42" s="11" t="s">
        <v>55</v>
      </c>
      <c r="K42" s="15" t="s">
        <v>48</v>
      </c>
      <c r="L42" s="15" t="s">
        <v>49</v>
      </c>
    </row>
    <row r="43" spans="1:12" ht="79.05" customHeight="1" x14ac:dyDescent="0.3">
      <c r="A43" s="7" t="s">
        <v>248</v>
      </c>
      <c r="B43" s="8" t="s">
        <v>227</v>
      </c>
      <c r="C43" s="9" t="s">
        <v>249</v>
      </c>
      <c r="D43" s="10" t="s">
        <v>250</v>
      </c>
      <c r="E43" s="20" t="s">
        <v>203</v>
      </c>
      <c r="F43" s="21">
        <v>2</v>
      </c>
      <c r="G43" s="13" t="s">
        <v>251</v>
      </c>
      <c r="H43" s="14" t="s">
        <v>252</v>
      </c>
      <c r="I43" s="10" t="s">
        <v>337</v>
      </c>
      <c r="J43" s="20" t="s">
        <v>62</v>
      </c>
      <c r="K43" s="15" t="s">
        <v>48</v>
      </c>
      <c r="L43" s="15" t="s">
        <v>49</v>
      </c>
    </row>
    <row r="44" spans="1:12" ht="79.05" customHeight="1" x14ac:dyDescent="0.3">
      <c r="A44" s="7" t="s">
        <v>253</v>
      </c>
      <c r="B44" s="8" t="s">
        <v>227</v>
      </c>
      <c r="C44" s="9" t="s">
        <v>254</v>
      </c>
      <c r="D44" s="10" t="s">
        <v>98</v>
      </c>
      <c r="E44" s="20" t="s">
        <v>99</v>
      </c>
      <c r="F44" s="21">
        <v>1</v>
      </c>
      <c r="G44" s="13" t="s">
        <v>255</v>
      </c>
      <c r="H44" s="14" t="s">
        <v>256</v>
      </c>
      <c r="I44" s="10" t="s">
        <v>338</v>
      </c>
      <c r="J44" s="20" t="s">
        <v>62</v>
      </c>
      <c r="K44" s="15" t="s">
        <v>48</v>
      </c>
      <c r="L44" s="15" t="s">
        <v>49</v>
      </c>
    </row>
    <row r="45" spans="1:12" ht="79.05" customHeight="1" x14ac:dyDescent="0.3">
      <c r="A45" s="7" t="s">
        <v>257</v>
      </c>
      <c r="B45" s="8" t="s">
        <v>227</v>
      </c>
      <c r="C45" s="9" t="s">
        <v>258</v>
      </c>
      <c r="D45" s="10" t="s">
        <v>259</v>
      </c>
      <c r="E45" s="16" t="s">
        <v>76</v>
      </c>
      <c r="F45" s="17">
        <v>2</v>
      </c>
      <c r="G45" s="13" t="s">
        <v>260</v>
      </c>
      <c r="H45" s="14" t="s">
        <v>261</v>
      </c>
      <c r="I45" s="10" t="s">
        <v>339</v>
      </c>
      <c r="J45" s="16" t="s">
        <v>55</v>
      </c>
      <c r="K45" s="15" t="s">
        <v>48</v>
      </c>
      <c r="L45" s="15" t="s">
        <v>49</v>
      </c>
    </row>
    <row r="46" spans="1:12" ht="79.05" customHeight="1" x14ac:dyDescent="0.3">
      <c r="A46" s="7" t="s">
        <v>262</v>
      </c>
      <c r="B46" s="8" t="s">
        <v>227</v>
      </c>
      <c r="C46" s="9" t="s">
        <v>263</v>
      </c>
      <c r="D46" s="10" t="s">
        <v>264</v>
      </c>
      <c r="E46" s="11" t="s">
        <v>44</v>
      </c>
      <c r="F46" s="12">
        <v>3</v>
      </c>
      <c r="G46" s="13" t="s">
        <v>265</v>
      </c>
      <c r="H46" s="14" t="s">
        <v>266</v>
      </c>
      <c r="I46" s="10" t="s">
        <v>340</v>
      </c>
      <c r="J46" s="11" t="s">
        <v>55</v>
      </c>
      <c r="K46" s="15" t="s">
        <v>48</v>
      </c>
      <c r="L46" s="15" t="s">
        <v>49</v>
      </c>
    </row>
    <row r="47" spans="1:12" ht="79.05" customHeight="1" x14ac:dyDescent="0.3">
      <c r="A47" s="7" t="s">
        <v>267</v>
      </c>
      <c r="B47" s="8" t="s">
        <v>268</v>
      </c>
      <c r="C47" s="9" t="s">
        <v>269</v>
      </c>
      <c r="D47" s="10" t="s">
        <v>98</v>
      </c>
      <c r="E47" s="20" t="s">
        <v>99</v>
      </c>
      <c r="F47" s="21">
        <v>0</v>
      </c>
      <c r="G47" s="13" t="s">
        <v>270</v>
      </c>
      <c r="H47" s="14" t="s">
        <v>271</v>
      </c>
      <c r="I47" s="10"/>
      <c r="J47" s="20" t="s">
        <v>47</v>
      </c>
      <c r="K47" s="15" t="s">
        <v>48</v>
      </c>
      <c r="L47" s="15" t="s">
        <v>49</v>
      </c>
    </row>
    <row r="48" spans="1:12" ht="66" customHeight="1" x14ac:dyDescent="0.3">
      <c r="A48" s="7" t="s">
        <v>272</v>
      </c>
      <c r="B48" s="8" t="s">
        <v>268</v>
      </c>
      <c r="C48" s="9" t="s">
        <v>273</v>
      </c>
      <c r="D48" s="10" t="s">
        <v>98</v>
      </c>
      <c r="E48" s="20" t="s">
        <v>99</v>
      </c>
      <c r="F48" s="21">
        <v>0</v>
      </c>
      <c r="G48" s="13" t="s">
        <v>274</v>
      </c>
      <c r="H48" s="14" t="s">
        <v>275</v>
      </c>
      <c r="I48" s="10"/>
      <c r="J48" s="20" t="s">
        <v>47</v>
      </c>
      <c r="K48" s="15" t="s">
        <v>48</v>
      </c>
      <c r="L48" s="15" t="s">
        <v>49</v>
      </c>
    </row>
    <row r="49" spans="1:12" ht="66" customHeight="1" x14ac:dyDescent="0.3">
      <c r="A49" s="7" t="s">
        <v>276</v>
      </c>
      <c r="B49" s="8" t="s">
        <v>268</v>
      </c>
      <c r="C49" s="9" t="s">
        <v>277</v>
      </c>
      <c r="D49" s="10" t="s">
        <v>98</v>
      </c>
      <c r="E49" s="20" t="s">
        <v>99</v>
      </c>
      <c r="F49" s="21">
        <v>0</v>
      </c>
      <c r="G49" s="13" t="s">
        <v>278</v>
      </c>
      <c r="H49" s="14" t="s">
        <v>279</v>
      </c>
      <c r="I49" s="10"/>
      <c r="J49" s="20" t="s">
        <v>47</v>
      </c>
      <c r="K49" s="15" t="s">
        <v>48</v>
      </c>
      <c r="L49" s="15" t="s">
        <v>49</v>
      </c>
    </row>
    <row r="50" spans="1:12" ht="66" customHeight="1" x14ac:dyDescent="0.3">
      <c r="A50" s="7" t="s">
        <v>280</v>
      </c>
      <c r="B50" s="8" t="s">
        <v>268</v>
      </c>
      <c r="C50" s="9" t="s">
        <v>281</v>
      </c>
      <c r="D50" s="10" t="s">
        <v>98</v>
      </c>
      <c r="E50" s="20" t="s">
        <v>99</v>
      </c>
      <c r="F50" s="21">
        <v>0</v>
      </c>
      <c r="G50" s="13" t="s">
        <v>282</v>
      </c>
      <c r="H50" s="14" t="s">
        <v>283</v>
      </c>
      <c r="I50" s="10"/>
      <c r="J50" s="20" t="s">
        <v>62</v>
      </c>
      <c r="K50" s="15" t="s">
        <v>48</v>
      </c>
      <c r="L50" s="15" t="s">
        <v>49</v>
      </c>
    </row>
  </sheetData>
  <autoFilter ref="A4:L50" xr:uid="{00000000-0009-0000-0000-000001000000}"/>
  <dataValidations count="3">
    <dataValidation type="list" allowBlank="1" sqref="L5:L50" xr:uid="{00000000-0002-0000-0100-000000000000}">
      <formula1>"Abierto,Enviado,Respondido,Cerrado,No aplica"</formula1>
    </dataValidation>
    <dataValidation type="list" allowBlank="1" sqref="E5:E50" xr:uid="{00000000-0002-0000-0100-000001000000}">
      <formula1>"Completa,Parcial,Vaga,Mal interpretada,Contradictoria,Sin responder"</formula1>
    </dataValidation>
    <dataValidation type="list" allowBlank="1" sqref="J5:J50" xr:uid="{00000000-0002-0000-0100-000002000000}">
      <formula1>"Critica,Alta,Media,Baja"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27"/>
  <sheetViews>
    <sheetView showGridLines="0" workbookViewId="0"/>
  </sheetViews>
  <sheetFormatPr baseColWidth="10" defaultColWidth="8.88671875" defaultRowHeight="14.4" x14ac:dyDescent="0.3"/>
  <cols>
    <col min="1" max="1" width="3" customWidth="1"/>
    <col min="2" max="2" width="30" customWidth="1"/>
    <col min="3" max="5" width="12" customWidth="1"/>
    <col min="6" max="6" width="68" customWidth="1"/>
  </cols>
  <sheetData>
    <row r="2" spans="2:6" ht="19.2" x14ac:dyDescent="0.35">
      <c r="B2" s="22" t="s">
        <v>284</v>
      </c>
    </row>
    <row r="3" spans="2:6" x14ac:dyDescent="0.3">
      <c r="B3" s="2" t="s">
        <v>285</v>
      </c>
    </row>
    <row r="5" spans="2:6" ht="30" customHeight="1" x14ac:dyDescent="0.3">
      <c r="B5" s="6" t="s">
        <v>286</v>
      </c>
      <c r="C5" s="6" t="s">
        <v>287</v>
      </c>
      <c r="D5" s="6" t="s">
        <v>288</v>
      </c>
      <c r="E5" s="6" t="s">
        <v>289</v>
      </c>
      <c r="F5" s="6" t="s">
        <v>290</v>
      </c>
    </row>
    <row r="6" spans="2:6" ht="43.95" customHeight="1" x14ac:dyDescent="0.3">
      <c r="B6" s="23" t="s">
        <v>41</v>
      </c>
      <c r="C6" s="24">
        <f>COUNTIF('Entrevista S1'!$B$5:$B$50,$B6)</f>
        <v>2</v>
      </c>
      <c r="D6" s="25">
        <f>IFERROR(AVERAGEIF('Entrevista S1'!$B$5:$B$50,$B6,'Entrevista S1'!$F$5:$F$50),0)</f>
        <v>3.5</v>
      </c>
      <c r="E6" s="26">
        <f t="shared" ref="E6:E13" si="0">D6*2</f>
        <v>7</v>
      </c>
      <c r="F6" s="27" t="s">
        <v>291</v>
      </c>
    </row>
    <row r="7" spans="2:6" ht="43.95" customHeight="1" x14ac:dyDescent="0.3">
      <c r="B7" s="23" t="s">
        <v>57</v>
      </c>
      <c r="C7" s="24">
        <f>COUNTIF('Entrevista S1'!$B$5:$B$50,$B7)</f>
        <v>7</v>
      </c>
      <c r="D7" s="25">
        <f>IFERROR(AVERAGEIF('Entrevista S1'!$B$5:$B$50,$B7,'Entrevista S1'!$F$5:$F$50),0)</f>
        <v>3.2857142857142856</v>
      </c>
      <c r="E7" s="26">
        <f t="shared" si="0"/>
        <v>6.5714285714285712</v>
      </c>
      <c r="F7" s="27" t="s">
        <v>292</v>
      </c>
    </row>
    <row r="8" spans="2:6" ht="43.95" customHeight="1" x14ac:dyDescent="0.3">
      <c r="B8" s="23" t="s">
        <v>96</v>
      </c>
      <c r="C8" s="24">
        <f>COUNTIF('Entrevista S1'!$B$5:$B$50,$B8)</f>
        <v>6</v>
      </c>
      <c r="D8" s="25">
        <f>IFERROR(AVERAGEIF('Entrevista S1'!$B$5:$B$50,$B8,'Entrevista S1'!$F$5:$F$50),0)</f>
        <v>3</v>
      </c>
      <c r="E8" s="26">
        <f t="shared" si="0"/>
        <v>6</v>
      </c>
      <c r="F8" s="27" t="s">
        <v>293</v>
      </c>
    </row>
    <row r="9" spans="2:6" ht="43.95" customHeight="1" x14ac:dyDescent="0.3">
      <c r="B9" s="23" t="s">
        <v>128</v>
      </c>
      <c r="C9" s="24">
        <f>COUNTIF('Entrevista S1'!$B$5:$B$50,$B9)</f>
        <v>11</v>
      </c>
      <c r="D9" s="25">
        <f>IFERROR(AVERAGEIF('Entrevista S1'!$B$5:$B$50,$B9,'Entrevista S1'!$F$5:$F$50),0)</f>
        <v>2.8181818181818183</v>
      </c>
      <c r="E9" s="26">
        <f t="shared" si="0"/>
        <v>5.6363636363636367</v>
      </c>
      <c r="F9" s="27" t="s">
        <v>294</v>
      </c>
    </row>
    <row r="10" spans="2:6" ht="43.95" customHeight="1" x14ac:dyDescent="0.3">
      <c r="B10" s="23" t="s">
        <v>185</v>
      </c>
      <c r="C10" s="24">
        <f>COUNTIF('Entrevista S1'!$B$5:$B$50,$B10)</f>
        <v>8</v>
      </c>
      <c r="D10" s="25">
        <f>IFERROR(AVERAGEIF('Entrevista S1'!$B$5:$B$50,$B10,'Entrevista S1'!$F$5:$F$50),0)</f>
        <v>3.75</v>
      </c>
      <c r="E10" s="26">
        <f t="shared" si="0"/>
        <v>7.5</v>
      </c>
      <c r="F10" s="27" t="s">
        <v>295</v>
      </c>
    </row>
    <row r="11" spans="2:6" ht="43.95" customHeight="1" x14ac:dyDescent="0.3">
      <c r="B11" s="23" t="s">
        <v>227</v>
      </c>
      <c r="C11" s="24">
        <f>COUNTIF('Entrevista S1'!$B$5:$B$50,$B11)</f>
        <v>8</v>
      </c>
      <c r="D11" s="25">
        <f>IFERROR(AVERAGEIF('Entrevista S1'!$B$5:$B$50,$B11,'Entrevista S1'!$F$5:$F$50),0)</f>
        <v>2.125</v>
      </c>
      <c r="E11" s="26">
        <f t="shared" si="0"/>
        <v>4.25</v>
      </c>
      <c r="F11" s="27" t="s">
        <v>296</v>
      </c>
    </row>
    <row r="12" spans="2:6" ht="43.95" customHeight="1" x14ac:dyDescent="0.3">
      <c r="B12" s="23" t="s">
        <v>268</v>
      </c>
      <c r="C12" s="24">
        <f>COUNTIF('Entrevista S1'!$B$5:$B$50,$B12)</f>
        <v>4</v>
      </c>
      <c r="D12" s="25">
        <f>IFERROR(AVERAGEIF('Entrevista S1'!$B$5:$B$50,$B12,'Entrevista S1'!$F$5:$F$50),0)</f>
        <v>0</v>
      </c>
      <c r="E12" s="26">
        <f t="shared" si="0"/>
        <v>0</v>
      </c>
      <c r="F12" s="27" t="s">
        <v>297</v>
      </c>
    </row>
    <row r="13" spans="2:6" ht="31.95" customHeight="1" x14ac:dyDescent="0.3">
      <c r="B13" s="28" t="s">
        <v>298</v>
      </c>
      <c r="C13" s="29">
        <f>COUNT('Entrevista S1'!$F$5:$F$50)</f>
        <v>46</v>
      </c>
      <c r="D13" s="30">
        <f>IFERROR(AVERAGE('Entrevista S1'!$F$5:$F$50),0)</f>
        <v>2.7391304347826089</v>
      </c>
      <c r="E13" s="31">
        <f t="shared" si="0"/>
        <v>5.4782608695652177</v>
      </c>
      <c r="F13" s="32" t="s">
        <v>299</v>
      </c>
    </row>
    <row r="15" spans="2:6" ht="15.6" x14ac:dyDescent="0.3">
      <c r="B15" s="33" t="s">
        <v>300</v>
      </c>
    </row>
    <row r="16" spans="2:6" x14ac:dyDescent="0.3">
      <c r="B16" s="34" t="s">
        <v>82</v>
      </c>
      <c r="C16" s="35">
        <f>COUNTIF('Entrevista S1'!$E$5:$E$50,$B16)</f>
        <v>10</v>
      </c>
    </row>
    <row r="17" spans="2:6" x14ac:dyDescent="0.3">
      <c r="B17" s="36" t="s">
        <v>44</v>
      </c>
      <c r="C17" s="35">
        <f>COUNTIF('Entrevista S1'!$E$5:$E$50,$B17)</f>
        <v>21</v>
      </c>
    </row>
    <row r="18" spans="2:6" x14ac:dyDescent="0.3">
      <c r="B18" s="37" t="s">
        <v>76</v>
      </c>
      <c r="C18" s="35">
        <f>COUNTIF('Entrevista S1'!$E$5:$E$50,$B18)</f>
        <v>3</v>
      </c>
    </row>
    <row r="19" spans="2:6" x14ac:dyDescent="0.3">
      <c r="B19" s="37" t="s">
        <v>136</v>
      </c>
      <c r="C19" s="35">
        <f>COUNTIF('Entrevista S1'!$E$5:$E$50,$B19)</f>
        <v>2</v>
      </c>
    </row>
    <row r="20" spans="2:6" x14ac:dyDescent="0.3">
      <c r="B20" s="38" t="s">
        <v>203</v>
      </c>
      <c r="C20" s="35">
        <f>COUNTIF('Entrevista S1'!$E$5:$E$50,$B20)</f>
        <v>4</v>
      </c>
    </row>
    <row r="21" spans="2:6" x14ac:dyDescent="0.3">
      <c r="B21" s="38" t="s">
        <v>99</v>
      </c>
      <c r="C21" s="35">
        <f>COUNTIF('Entrevista S1'!$E$5:$E$50,$B21)</f>
        <v>6</v>
      </c>
    </row>
    <row r="23" spans="2:6" ht="16.8" x14ac:dyDescent="0.3">
      <c r="B23" s="39" t="s">
        <v>301</v>
      </c>
      <c r="C23" s="40">
        <f>COUNTIFS('Entrevista S1'!$J$5:$J$50,"Critica",'Entrevista S1'!$L$5:$L$50,"Abierto")</f>
        <v>15</v>
      </c>
    </row>
    <row r="26" spans="2:6" ht="15.6" x14ac:dyDescent="0.3">
      <c r="B26" s="33" t="s">
        <v>302</v>
      </c>
    </row>
    <row r="27" spans="2:6" ht="60" customHeight="1" x14ac:dyDescent="0.3">
      <c r="B27" s="41" t="s">
        <v>303</v>
      </c>
      <c r="C27" s="42"/>
      <c r="D27" s="42"/>
      <c r="E27" s="42"/>
      <c r="F27" s="42"/>
    </row>
  </sheetData>
  <mergeCells count="1">
    <mergeCell ref="B27:F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Como leer</vt:lpstr>
      <vt:lpstr>Entrevista S1</vt:lpstr>
      <vt:lpstr>Calificacion por bloque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Pablo Avendaño Duque</cp:lastModifiedBy>
  <dcterms:created xsi:type="dcterms:W3CDTF">2026-08-04T18:50:41Z</dcterms:created>
  <dcterms:modified xsi:type="dcterms:W3CDTF">2026-08-05T01:55:52Z</dcterms:modified>
</cp:coreProperties>
</file>