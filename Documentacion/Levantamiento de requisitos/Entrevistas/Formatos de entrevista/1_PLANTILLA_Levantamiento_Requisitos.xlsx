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fa00507a02a31d0/Escritorio/"/>
    </mc:Choice>
  </mc:AlternateContent>
  <xr:revisionPtr revIDLastSave="0" documentId="11_B9BE55A58ED6826E0887B8FA37250C6F1F5722FD" xr6:coauthVersionLast="47" xr6:coauthVersionMax="47" xr10:uidLastSave="{00000000-0000-0000-0000-000000000000}"/>
  <bookViews>
    <workbookView minimized="1" xWindow="5856" yWindow="3000" windowWidth="17280" windowHeight="8880" tabRatio="500" activeTab="3" xr2:uid="{00000000-000D-0000-FFFF-FFFF00000000}"/>
  </bookViews>
  <sheets>
    <sheet name="Instrucciones" sheetId="1" r:id="rId1"/>
    <sheet name="Guion Entrevista" sheetId="2" r:id="rId2"/>
    <sheet name="Ejemplo Trazabilidad" sheetId="3" r:id="rId3"/>
    <sheet name="Catalogo Requisitos" sheetId="4" r:id="rId4"/>
    <sheet name="Tablero" sheetId="5" r:id="rId5"/>
    <sheet name="Reglas y Excepciones" sheetId="6" r:id="rId6"/>
    <sheet name="Glosario" sheetId="7" r:id="rId7"/>
    <sheet name="Pendientes y Riesgo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5" l="1"/>
  <c r="C15" i="5"/>
  <c r="F14" i="5"/>
  <c r="C14" i="5"/>
  <c r="C13" i="5"/>
  <c r="F12" i="5"/>
  <c r="C12" i="5"/>
  <c r="F9" i="5"/>
  <c r="C9" i="5"/>
  <c r="F8" i="5"/>
  <c r="C8" i="5"/>
  <c r="F7" i="5"/>
  <c r="C7" i="5"/>
  <c r="F6" i="5"/>
  <c r="C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Guia</author>
  </authors>
  <commentList>
    <comment ref="A2" authorId="0" shapeId="0" xr:uid="{00000000-0006-0000-0300-000001000000}">
      <text>
        <r>
          <rPr>
            <sz val="11"/>
            <color theme="1"/>
            <rFont val="Calibri"/>
            <family val="2"/>
            <charset val="1"/>
          </rPr>
          <t>MoSCoW: Must = sin esto el sistema no sirve. Should = importante, puede esperar a una fase 2. Could = deseable si sobra tiempo. Wont = fuera de alcance acordado, se deja escrito para que nadie lo reclame despues.</t>
        </r>
      </text>
    </comment>
  </commentList>
</comments>
</file>

<file path=xl/sharedStrings.xml><?xml version="1.0" encoding="utf-8"?>
<sst xmlns="http://schemas.openxmlformats.org/spreadsheetml/2006/main" count="768" uniqueCount="575">
  <si>
    <t>PLANTILLA - Guion de entrevista semiestructurada (90 minutos)</t>
  </si>
  <si>
    <t>Plantilla en blanco. Adapta las preguntas al proyecto, escribe en las dos columnas amarillas durante la sesion y guarda una copia por cada entrevistado. No sobrescribas esta plantilla.</t>
  </si>
  <si>
    <t>ID</t>
  </si>
  <si>
    <t>Bloque</t>
  </si>
  <si>
    <t>Min</t>
  </si>
  <si>
    <t>Pregunta ancla</t>
  </si>
  <si>
    <t>Sondeos de seguimiento</t>
  </si>
  <si>
    <t>Que busco obtener</t>
  </si>
  <si>
    <t>Respuesta textual del cliente</t>
  </si>
  <si>
    <t>Requisito candidato</t>
  </si>
  <si>
    <t>P01</t>
  </si>
  <si>
    <t>B0. Encuadre</t>
  </si>
  <si>
    <t>0-5</t>
  </si>
  <si>
    <t>Presentacion: objetivo de la sesion, duracion, permiso para grabar y aclaracion de que hoy no hablaremos de tecnologia.</t>
  </si>
  <si>
    <t>Te incomoda que grabe? Cuanto tiempo real tienes? Te interrumpo si me pierdo?</t>
  </si>
  <si>
    <t>Consentimiento y expectativas alineadas.</t>
  </si>
  <si>
    <t>P02</t>
  </si>
  <si>
    <t>Cual es tu rol y desde cuando estas en la finca?</t>
  </si>
  <si>
    <t>De que eres responsable exactamente? A quien le reportas? Quien decide sobre este proceso si tu no estas?</t>
  </si>
  <si>
    <t>Perfil del entrevistado y su autoridad real sobre el proceso.</t>
  </si>
  <si>
    <t>P03</t>
  </si>
  <si>
    <t>B1. Negocio y objetivo</t>
  </si>
  <si>
    <t>5-20</t>
  </si>
  <si>
    <t>Cuentame que produce la finca y a quien le venden.</t>
  </si>
  <si>
    <t>Que variedades? Exportacion o nacional, en que proporcion? Clientes fijos con contrato o venta spot? Comercializadora o directo?</t>
  </si>
  <si>
    <t>Modelo de negocio y mix comercial. Define que dimensiones necesita la proyeccion.</t>
  </si>
  <si>
    <t>P04</t>
  </si>
  <si>
    <t>Que tamano tiene la operacion?</t>
  </si>
  <si>
    <t>Hectareas en produccion? Cuantos bloques o naves? Cuanta gente en campo y en poscosecha? Cuantos supervisores?</t>
  </si>
  <si>
    <t>Escala. Dimensiona volumen de datos, numero de usuarios y complejidad de la jerarquia.</t>
  </si>
  <si>
    <t>P05</t>
  </si>
  <si>
    <t>Que te llevo a buscar un sistema ahora y no hace dos anos?</t>
  </si>
  <si>
    <t>Hubo un evento puntual? Perdieron un cliente, un pedido, una cosecha? Cuanto costo?</t>
  </si>
  <si>
    <t>El disparador. Casi siempre contiene el problema real, no el que aparece en el pliego.</t>
  </si>
  <si>
    <t>P06</t>
  </si>
  <si>
    <t>Si esto funciona perfecto, que es distinto dentro de un ano?</t>
  </si>
  <si>
    <t>Como lo medirias? Que numero quieres mover y de cuanto a cuanto?</t>
  </si>
  <si>
    <t>Objetivo de negocio y metrica de exito. Sin esto no hay criterio de aceptacion del proyecto.</t>
  </si>
  <si>
    <t>P07</t>
  </si>
  <si>
    <t>Que decisiones tomas hoy con la proyeccion de ventas?</t>
  </si>
  <si>
    <t>Comprometer pedidos? Contratar temporales? Comprar insumos o cajas? Programar siembras? Negociar precio?</t>
  </si>
  <si>
    <t>El uso real del resultado define el horizonte y la precision exigidos. No es lo mismo proyectar para vender que para comprar cartones.</t>
  </si>
  <si>
    <t>P07b</t>
  </si>
  <si>
    <t>Que decisiones tomas hoy con la proyeccion de producción?</t>
  </si>
  <si>
    <t>P08</t>
  </si>
  <si>
    <t>Quien mas usa o necesita esa proyeccion?</t>
  </si>
  <si>
    <t>Comercial? Gerencia? Poscosecha? El cliente mismo? Alguien externo, como la comercializadora?</t>
  </si>
  <si>
    <t>Mapa de stakeholders y de salidas obligatorias del sistema.</t>
  </si>
  <si>
    <t>P09</t>
  </si>
  <si>
    <t>B2. Estructura del cultivo</t>
  </si>
  <si>
    <t>20-40</t>
  </si>
  <si>
    <t>Dibujame como esta organizado el cultivo, de la finca hacia abajo.</t>
  </si>
  <si>
    <t>Bloque, nave, cama, surco? Como se identifican? Los codigos se repiten entre bloques? Cambian de un ano a otro?</t>
  </si>
  <si>
    <t>Jerarquia de la unidad productiva. Es el nucleo del modelo de datos: si esto queda mal, todo lo demas queda mal.</t>
  </si>
  <si>
    <t>P10</t>
  </si>
  <si>
    <t>Que variedades tienen y como estan distribuidas?</t>
  </si>
  <si>
    <t>Una variedad por cama o mezcladas? Cuantas variedades activas hay? Cada cuanto entran o salen variedades?</t>
  </si>
  <si>
    <t>Cardinalidad entre variedad y area. Define si la proyeccion se puede desagregar por variedad.</t>
  </si>
  <si>
    <t>P11</t>
  </si>
  <si>
    <t>Como es el ciclo de una variedad, desde siembra hasta el corte?</t>
  </si>
  <si>
    <t>Cuantas semanas? Cuantos cortes saca una planta? Es igual para todas las variedades?</t>
  </si>
  <si>
    <t>Modelo temporal. Es la columna vertebral del calculo de proyeccion.</t>
  </si>
  <si>
    <t>P12</t>
  </si>
  <si>
    <t>Cuanto se corre ese ciclo por clima u otras causas?</t>
  </si>
  <si>
    <t>Cuantos dias se adelanta o se atrasa? Que lo causa? Cual fue el peor caso que recuerdas?</t>
  </si>
  <si>
    <t>Variabilidad del ciclo. Determina si la proyeccion debe ser un numero o un rango.</t>
  </si>
  <si>
    <t>P13</t>
  </si>
  <si>
    <t>Cuando renuevan o erradican un area y como lo manejan?</t>
  </si>
  <si>
    <t>Cada cuantos anos? Que pasa con la proyeccion de esa area? Se avisa con anticipacion?</t>
  </si>
  <si>
    <t>Ciclo de vida del area productiva. Cambia la capacidad instalada a futuro.</t>
  </si>
  <si>
    <t>P14</t>
  </si>
  <si>
    <t>Manejan siembras escalonadas para apuntar a fechas?</t>
  </si>
  <si>
    <t>Apuntan a San Valentin, Dia de la Madre? Con cuanta anticipacion planean? Que pasa si se corren?</t>
  </si>
  <si>
    <t>Planeacion orientada a picos. El sistema debe soportar planeacion hacia atras desde una fecha objetivo.</t>
  </si>
  <si>
    <t>P15</t>
  </si>
  <si>
    <t>B3. Proyeccion hoy</t>
  </si>
  <si>
    <t>40-60</t>
  </si>
  <si>
    <t>Llevame por el ultimo ejercicio de proyeccion que hiciste, paso a paso.</t>
  </si>
  <si>
    <t>Cuando fue? Con que empezaste? En que herramienta? Cuanto te tomo? Que fue lo mas fastidioso?</t>
  </si>
  <si>
    <t>Caso real completo. Es la fuente mas rica de requisitos de toda la sesion: no lo apures.</t>
  </si>
  <si>
    <t>P16</t>
  </si>
  <si>
    <t>Como hacen el aforo?</t>
  </si>
  <si>
    <t>Quien cuenta? Cada cuanto? Cuenta todo o muestrea? Que porcentaje muestrea? En papel o en algo digital?</t>
  </si>
  <si>
    <t>Metodo de captura en campo: frecuencia, actor, cobertura y medio.</t>
  </si>
  <si>
    <t>P17</t>
  </si>
  <si>
    <t>Que estados fenologicos registran en el aforo?</t>
  </si>
  <si>
    <t>Como los llaman? Cuantos dias hay de cada estado al corte? Quien decide en que estado esta un boton?</t>
  </si>
  <si>
    <t>Tabla de conversion estado -&gt; dias a corte. Es el parametro central del motor de proyeccion.</t>
  </si>
  <si>
    <t>P18</t>
  </si>
  <si>
    <t>Como pasan de tallos aforados a tallos vendibles?</t>
  </si>
  <si>
    <t>Que porcentaje de merma aplican? De donde salio ese porcentaje? Varia por variedad, por epoca, por bloque?</t>
  </si>
  <si>
    <t>Factores de conversion y merma. Casi siempre son conocimiento tacito del ingeniero.</t>
  </si>
  <si>
    <t>P19</t>
  </si>
  <si>
    <t>Como clasifican la produccion para vender?</t>
  </si>
  <si>
    <t>Grados por longitud de tallo? Calidad nacional y exportacion? Que porcentaje cae en cada grado? Eso varia en el ano?</t>
  </si>
  <si>
    <t>Dimensiones comerciales. Un total de tallos sin grado no le sirve a nadie en comercial.</t>
  </si>
  <si>
    <t>P20</t>
  </si>
  <si>
    <t>En que unidad de tiempo proyectan?</t>
  </si>
  <si>
    <t>Semana, quincena, mes? Semana calendario o semana de finca? El corte de semana en que dia cae?</t>
  </si>
  <si>
    <t>Granularidad temporal y definicion exacta de periodo. Fuente clasica de errores silenciosos.</t>
  </si>
  <si>
    <t>P21</t>
  </si>
  <si>
    <t>Con cuanta anticipacion necesitan la proyeccion?</t>
  </si>
  <si>
    <t>Cuatro semanas? Doce? Todo el ano? Cambia segun el cliente o la temporada?</t>
  </si>
  <si>
    <t>Horizonte de proyeccion. Define cuantos estados fenologicos hay que capturar.</t>
  </si>
  <si>
    <t>P22</t>
  </si>
  <si>
    <t>Que tan cerca queda la proyeccion de lo que realmente cortan?</t>
  </si>
  <si>
    <t>Lo han medido alguna vez? Cuanto se desvian tipicamente? En que epoca fallan mas?</t>
  </si>
  <si>
    <t>Linea base de exactitud. Sin ella no se puede fijar una meta ni demostrar el valor del sistema.</t>
  </si>
  <si>
    <t>P23</t>
  </si>
  <si>
    <t>Que pasa cuando la proyeccion falla, por encima o por debajo?</t>
  </si>
  <si>
    <t>Incumplen un pedido? Rematan flor? Cuanto costo la ultima vez? Quien da la cara?</t>
  </si>
  <si>
    <t>Costo del error. Es el argumento que prioriza los requisitos frente a gerencia.</t>
  </si>
  <si>
    <t>P24</t>
  </si>
  <si>
    <t>Ajustan la proyeccion a mano por experiencia?</t>
  </si>
  <si>
    <t>Quien ajusta? Con que criterio? Queda registrado en alguna parte? Que pasa si esa persona se va?</t>
  </si>
  <si>
    <t>Conocimiento tacito. Hay que capturarlo como parametro, no perderlo.</t>
  </si>
  <si>
    <t>P25</t>
  </si>
  <si>
    <t>Como se cruza la proyeccion con los pedidos ya comprometidos?</t>
  </si>
  <si>
    <t>Ven disponible contra comprometido? Donde? Quien lo consolida? Han vendido flor que no existia?</t>
  </si>
  <si>
    <t>Contraste oferta-demanda. Suele ser el requisito de mayor valor percibido.</t>
  </si>
  <si>
    <t>P26</t>
  </si>
  <si>
    <t>B4. Registro continuo</t>
  </si>
  <si>
    <t>60-75</t>
  </si>
  <si>
    <t>Que se registra hoy sobre el estado del cultivo?</t>
  </si>
  <si>
    <t>Labores, riego, fertilizacion, aplicaciones, monitoreo sanitario, personal? Que se registra y que no?</t>
  </si>
  <si>
    <t>Alcance de la captura continua. Define el modulo de operacion diaria.</t>
  </si>
  <si>
    <t>P27</t>
  </si>
  <si>
    <t>Quien registra, donde y en que momento del dia?</t>
  </si>
  <si>
    <t>El supervisor al final de la jornada? En papel? A donde va ese papel? Quien lo digita?</t>
  </si>
  <si>
    <t>Actor, momento y medio de captura. Determina el diseno de la interfaz movil.</t>
  </si>
  <si>
    <t>P28</t>
  </si>
  <si>
    <t>Cuanto tarda hoy ese registro y cuanto se pierde en el camino?</t>
  </si>
  <si>
    <t>Cuantas planillas se pierden o se mojan al mes? Cuantos dias de retraso hay entre el dato y el reporte?</t>
  </si>
  <si>
    <t>Cuantificacion del dolor. Convierte una queja en un indicador de exito medible.</t>
  </si>
  <si>
    <t>P29</t>
  </si>
  <si>
    <t>Hay senal de celular o wifi dentro del cultivo?</t>
  </si>
  <si>
    <t>En todos los bloques? En cuales no? Los supervisores tienen celular propio o de la finca? Que gama?</t>
  </si>
  <si>
    <t>RESTRICCION CRITICA. Define si la captura debe funcionar sin conexion. Preguntalo siempre.</t>
  </si>
  <si>
    <t>P30</t>
  </si>
  <si>
    <t>Que registran de plagas y enfermedades?</t>
  </si>
  <si>
    <t>Manejan umbrales? Incidencia por cama? Como afecta eso a lo que van a poder cortar?</t>
  </si>
  <si>
    <t>Vinculo entre sanidad y merma proyectada. Es lo que hace util el registro continuo.</t>
  </si>
  <si>
    <t>P31</t>
  </si>
  <si>
    <t>Registran clima?</t>
  </si>
  <si>
    <t>Estacion propia o manual? Que variables? Lo usan para algo o solo se archiva?</t>
  </si>
  <si>
    <t>Variable explicativa del corrimiento del ciclo. Insumo para mejorar la proyeccion.</t>
  </si>
  <si>
    <t>P32</t>
  </si>
  <si>
    <t>Que reportes se producen hoy y para quien?</t>
  </si>
  <si>
    <t>Cada cuanto? Quien los arma? Cuantas horas toma? Que pasa si llega tarde?</t>
  </si>
  <si>
    <t>Salidas obligatorias. Todo reporte que existe hoy es un requisito del sistema nuevo.</t>
  </si>
  <si>
    <t>P33</t>
  </si>
  <si>
    <t>Que pasa cuando alguien registra un dato equivocado?</t>
  </si>
  <si>
    <t>Se puede corregir? Quien autoriza? Queda rastro de quien cambio que? Los han auditado por esto?</t>
  </si>
  <si>
    <t>Requisitos de auditoria, trazabilidad y control de cambios.</t>
  </si>
  <si>
    <t>P34</t>
  </si>
  <si>
    <t>B5. Excepciones y limites</t>
  </si>
  <si>
    <t>75-85</t>
  </si>
  <si>
    <t>Que es lo que mas tiempo te quita hoy en todo esto?</t>
  </si>
  <si>
    <t>Cuantas horas a la semana? Que dejarias de hacer si se resolviera?</t>
  </si>
  <si>
    <t>Prioriza donde esta el mayor retorno del sistema.</t>
  </si>
  <si>
    <t>P35</t>
  </si>
  <si>
    <t>Que se hace hoy por fuera del sistema o de las planillas oficiales?</t>
  </si>
  <si>
    <t>Hay Excel paralelos? Cuadernos? Grupos de WhatsApp? Me los puedes mostrar ahora?</t>
  </si>
  <si>
    <t>Los Excel sombra son requisitos disfrazados. Pide copia en la misma sesion.</t>
  </si>
  <si>
    <t>P36</t>
  </si>
  <si>
    <t>Que otros sistemas existen en la finca?</t>
  </si>
  <si>
    <t>Contable, nomina, poscosecha, ERP, balanzas, lectores? Habria que conectarse con alguno? Quien lo administra?</t>
  </si>
  <si>
    <t>Integraciones y dependencias de terceros.</t>
  </si>
  <si>
    <t>P37</t>
  </si>
  <si>
    <t>Hay certificaciones o auditorias que cumplir?</t>
  </si>
  <si>
    <t>Florverde, GlobalG.A.P., Rainforest, BASC? Que registros exigen? Cada cuanto los auditan?</t>
  </si>
  <si>
    <t>Requisitos regulatorios no negociables. Definen campos obligatorios y reportes fijos.</t>
  </si>
  <si>
    <t>P38</t>
  </si>
  <si>
    <t>Quien NO deberia ver cierta informacion?</t>
  </si>
  <si>
    <t>Costos? Precios de venta? Nomina? Los supervisores pueden ver otros bloques?</t>
  </si>
  <si>
    <t>Roles, permisos y confidencialidad.</t>
  </si>
  <si>
    <t>P39</t>
  </si>
  <si>
    <t>Que parte del proceso actual NO quieres que el sistema cambie?</t>
  </si>
  <si>
    <t>Por que? Que se intento cambiar antes y no funciono?</t>
  </si>
  <si>
    <t>Restricciones y focos de resistencia al cambio. Ahorra un fracaso de adopcion.</t>
  </si>
  <si>
    <t>P40</t>
  </si>
  <si>
    <t>Que pasa si el sistema se cae en plena temporada de San Valentin?</t>
  </si>
  <si>
    <t>Cuantas horas pueden operar sin el? Hay plan B en papel? Quien avisa a quien?</t>
  </si>
  <si>
    <t>Criticidad, disponibilidad exigida y plan de contingencia.</t>
  </si>
  <si>
    <t>P41</t>
  </si>
  <si>
    <t>Como es la temporada pico frente a la baja, en numeros?</t>
  </si>
  <si>
    <t>Cuantos tallos por dia en pico y en valle? Cuanta gente extra entra? Por cuantas semanas?</t>
  </si>
  <si>
    <t>Dimensionamiento de carga y de usuarios. Genera requisitos no funcionales concretos.</t>
  </si>
  <si>
    <t>P42</t>
  </si>
  <si>
    <t>B6. Cierre</t>
  </si>
  <si>
    <t>85-90</t>
  </si>
  <si>
    <t>Te resumo lo que entendi. Que corregirias?</t>
  </si>
  <si>
    <t>(Lee 5 a 7 puntos clave, despacio, y callate)</t>
  </si>
  <si>
    <t>La correccion del cliente suele ser el dato mas valioso de toda la sesion.</t>
  </si>
  <si>
    <t>P43</t>
  </si>
  <si>
    <t>Con quien mas deberia hablar?</t>
  </si>
  <si>
    <t>Quien sabe del detalle que tu no manejas? Quien se opone a este proyecto? Me lo puedes presentar?</t>
  </si>
  <si>
    <t>Siguiente ronda de entrevistas, incluidos los detractores.</t>
  </si>
  <si>
    <t>P44</t>
  </si>
  <si>
    <t>Que documentos, planillas o datos de muestra me puedes pasar?</t>
  </si>
  <si>
    <t>Aforos historicos? Cortes reales de los ultimos 12 meses? Lista de precios? Formatos de la certificacion?</t>
  </si>
  <si>
    <t>Datos reales. Un archivo de produccion vale mas que tres reuniones.</t>
  </si>
  <si>
    <t>P45</t>
  </si>
  <si>
    <t>Agendamos una segunda sesion para validar un boceto?</t>
  </si>
  <si>
    <t>Cuando te queda bien? Puede estar tambien el ingeniero de campo?</t>
  </si>
  <si>
    <t>Cierra el ciclo de validacion. La gente corrige mucho mejor de lo que especifica.</t>
  </si>
  <si>
    <t>PLANTILLA de levantamiento de requisitos - Entrevista, trazabilidad y catalogo</t>
  </si>
  <si>
    <t>Archivo maestro sin datos. Duplicalo para cada proyecto o entrevistado. Las hojas de ejemplo (verde) se conservan a proposito: son la referencia de como redactar. Version 2.0</t>
  </si>
  <si>
    <t>Como usar este libro</t>
  </si>
  <si>
    <t>1. Guion Entrevista</t>
  </si>
  <si>
    <t>Llevalo impreso o en tablet. Las preguntas ancla estan en negrita y son las que SI o SI debes hacer. Los sondeos son para perseguir lo que el cliente diga, no para leerlos todos. Escribe en las columnas amarillas (Respuesta textual y Requisito candidato) durante o justo despues de la sesion.</t>
  </si>
  <si>
    <t>2. Ejemplo Trazabilidad</t>
  </si>
  <si>
    <t>Ejemplo resuelto de como una frase del cliente se convierte en un requisito funcional con criterio de aceptacion. Usalo como modelo de redaccion: cita textual -&gt; hallazgo -&gt; regla de negocio -&gt; requisito -&gt; criterio verificable.</t>
  </si>
  <si>
    <t>3. Catalogo Requisitos</t>
  </si>
  <si>
    <t>Tu entregable formal. Las primeras 11 filas vienen del ejemplo; a partir de la fila 16 esta vacio para que cargues los tuyos. Cada requisito debe apuntar a la pregunta que lo origino (columna Origen).</t>
  </si>
  <si>
    <t>4. Tablero</t>
  </si>
  <si>
    <t>Se calcula solo a partir del Catalogo. Sirve para ver el avance de la validacion sin contar a mano.</t>
  </si>
  <si>
    <t>5. Reglas y Excepciones</t>
  </si>
  <si>
    <t>Las reglas de negocio y, sobre todo, sus excepciones. Aqui es donde mueren los proyectos: la regla se cumple el 80% de las veces y nadie documento el otro 20%.</t>
  </si>
  <si>
    <t>6. Glosario</t>
  </si>
  <si>
    <t>Vocabulario de floricultura. Si no manejas estos terminos, el cliente lo nota en los primeros cinco minutos y la calidad de la entrevista cae. Repasalo antes de ir.</t>
  </si>
  <si>
    <t>7. Pendientes y Riesgos</t>
  </si>
  <si>
    <t>Todo lo que quedo sin respuesta, cada supuesto que asumiste y cada riesgo detectado. Un supuesto sin validar es un requisito equivocado esperando su turno.</t>
  </si>
  <si>
    <t>Reglas de la sesion</t>
  </si>
  <si>
    <t>Van dos personas</t>
  </si>
  <si>
    <t>Uno conduce, otro toma notas. Solo no puedes escuchar bien y escribir bien al mismo tiempo.</t>
  </si>
  <si>
    <t>Pide un caso real</t>
  </si>
  <si>
    <t>No preguntes como es el proceso. Pide que te narre la ultima vez que lo hizo, con fechas y nombres.</t>
  </si>
  <si>
    <t>Cita textual, no resumen</t>
  </si>
  <si>
    <t>Escribe lo que dijo, no lo que entendiste. La interpretacion viene despues, en frio.</t>
  </si>
  <si>
    <t>Aguanta el silencio</t>
  </si>
  <si>
    <t>Tres segundos incomodos despues de una respuesta y el cliente sigue hablando. Ahi sale lo que no pensaba decir.</t>
  </si>
  <si>
    <t>Nada de tecnologia</t>
  </si>
  <si>
    <t>No menciones base de datos, app ni nube hasta la sesion de validacion.</t>
  </si>
  <si>
    <t>Cierra resumiendo</t>
  </si>
  <si>
    <t>Lee 5-7 puntos clave en voz alta y deja que te corrija. Esa correccion es el mejor dato de la sesion.</t>
  </si>
  <si>
    <t>Envia el acta en 48 h</t>
  </si>
  <si>
    <t>Por escrito y pidiendo confirmacion explicita. La memoria de las reuniones diverge rapido.</t>
  </si>
  <si>
    <t>Leyenda de colores</t>
  </si>
  <si>
    <t>Celdas que TU debes llenar durante o despues de la entrevista</t>
  </si>
  <si>
    <t>Contenido de ejemplo, ya resuelto. Reemplazalo con tus datos reales</t>
  </si>
  <si>
    <t>Alerta: dato critico, restriccion no negociable o riesgo abierto</t>
  </si>
  <si>
    <t>De lo que dijo el cliente al requisito funcional</t>
  </si>
  <si>
    <t>Ejemplo resuelto sobre una finca de rosas. Lee una fila de izquierda a derecha: nunca saltes de la cita al requisito sin escribir el hallazgo y la regla de negocio en el medio. Ese salto es donde se cuelan las suposiciones.</t>
  </si>
  <si>
    <t>#</t>
  </si>
  <si>
    <t>Pregunta origen</t>
  </si>
  <si>
    <t>Cita textual del cliente</t>
  </si>
  <si>
    <t>Hallazgo (que significa)</t>
  </si>
  <si>
    <t>Regla de negocio o restriccion</t>
  </si>
  <si>
    <t>Requisito</t>
  </si>
  <si>
    <t>Criterio de aceptacion (verificable)</t>
  </si>
  <si>
    <t>Prio.</t>
  </si>
  <si>
    <t>"Los lunes dos muchachos recorren los bloques con una planilla y cuentan boton por boton, cama por cama. El martes la secretaria lo pasa a Excel. A veces la planilla se moja y toca estimar."</t>
  </si>
  <si>
    <t>Captura semanal, en papel, con doble digitacion y perdida real de datos. Hay 24 horas de retraso entre el dato y su disponibilidad, y las planillas danadas se rellenan a ojo sin dejar rastro.</t>
  </si>
  <si>
    <t>El aforo se realiza semanalmente, los lunes, a nivel de cama. La unidad minima de conteo es la cama.</t>
  </si>
  <si>
    <t>RF-001</t>
  </si>
  <si>
    <t>El sistema debe permitir registrar el aforo en campo desde un dispositivo movil, a nivel de cama, capturando el conteo de tallos por cada estado fenologico.</t>
  </si>
  <si>
    <t>Dado un aforador autenticado, cuando selecciona bloque y cama e ingresa el conteo por estado fenologico, entonces el registro se guarda con fecha, hora, usuario y coordenada, y queda disponible para consulta en menos de 5 segundos.</t>
  </si>
  <si>
    <t>Must</t>
  </si>
  <si>
    <t>"En el bloque 7 y en el 8 no hay senal. Ni celular ni wifi. Y eso es la mitad del cultivo."</t>
  </si>
  <si>
    <t>La conectividad no esta garantizada en el area productiva. Cualquier diseno que dependa de red en linea falla en el 50% del cultivo y el proyecto se cae en produccion, no en pruebas.</t>
  </si>
  <si>
    <t>RESTRICCION DEL ENTORNO, no negociable: no hay cobertura de red en parte de los bloques.</t>
  </si>
  <si>
    <t>RF-002</t>
  </si>
  <si>
    <t>La aplicacion movil de captura debe operar sin conexion y sincronizar de forma automatica al recuperar la red.</t>
  </si>
  <si>
    <t>Dado un dispositivo sin conexion, cuando el usuario registra uno o mas aforos, entonces los datos se almacenan localmente y se sincronizan sin intervencion del usuario al detectar red. Tras la sincronizacion no debe existir ningun registro perdido ni duplicado (verificado con 200 registros en prueba).</t>
  </si>
  <si>
    <t>"Nosotros manejamos arveja, garbanzo, rayando color y abriendo. De rayando color a corte son cinco dias si hace calor y ocho si esta frio."</t>
  </si>
  <si>
    <t>Existe una tabla de conversion estado fenologico a dias de corte, y esos dias dependen de la temperatura. Hoy vive en la cabeza del ingeniero: si el se va, la empresa pierde el modelo.</t>
  </si>
  <si>
    <t>Cada estado fenologico tiene un rango de dias a corte que varia segun la temperatura promedio del periodo y segun la variedad.</t>
  </si>
  <si>
    <t>RF-003</t>
  </si>
  <si>
    <t>El sistema debe permitir parametrizar, por variedad y estado fenologico, los dias estimados a corte, admitiendo ajuste por rango de temperatura.</t>
  </si>
  <si>
    <t>Dado un usuario con rol Ingeniero, cuando crea o edita la tabla de dias a corte, entonces el cambio aplica solo a proyecciones generadas despues de la edicion, las proyecciones ya publicadas no se alteran, y queda registro de autor, fecha y valor anterior.</t>
  </si>
  <si>
    <t>"Yo agarro el Excel del aforo, le sumo los dias segun el estado y reparto los tallos en las semanas. Me toma casi dos dias completos cada mes."</t>
  </si>
  <si>
    <t>El calculo ya existe y es determinista; el problema es que se hace a mano. Automatizarlo libera ~16 horas/mes del ingeniero, que es el argumento economico del proyecto.</t>
  </si>
  <si>
    <t>Proyeccion de corte = tallos aforados distribuidos en la semana resultante de sumar los dias a corte del estado.</t>
  </si>
  <si>
    <t>RF-004</t>
  </si>
  <si>
    <t>El sistema debe calcular la proyeccion de corte semanal a partir del ultimo aforo, aplicando los dias a corte parametrizados por variedad y estado fenologico.</t>
  </si>
  <si>
    <t>Dado un aforo registrado, cuando el usuario solicita la proyeccion, entonces el sistema distribuye los tallos en las semanas de corte correspondientes y muestra el total por semana, variedad y bloque, en menos de 10 segundos para una finca de 20 ha.</t>
  </si>
  <si>
    <t>"De lo que uno cuenta sale mas o menos el 92%. En invierno se baja al 85% por la botrytis."</t>
  </si>
  <si>
    <t>Se aplica un factor de merma variable definido por criterio del ingeniero, sin registro ni justificacion. Nadie puede auditar por que una proyeccion dio lo que dio.</t>
  </si>
  <si>
    <t>Tallos vendibles = tallos aforados x (1 - % merma). El % merma varia por variedad y por epoca o condicion sanitaria.</t>
  </si>
  <si>
    <t>RF-005</t>
  </si>
  <si>
    <t>El sistema debe permitir parametrizar el factor de merma por variedad y periodo, aplicarlo automaticamente y mostrar el calculo desglosado.</t>
  </si>
  <si>
    <t>Dado un aforo proyectado, cuando se consulta el resultado, entonces se muestran en columnas separadas los tallos aforados, el % de merma aplicado y los tallos vendibles, de modo que el usuario pueda reconstruir el calculo a mano.</t>
  </si>
  <si>
    <t>"El cliente no compra tallos, compra grado 60 y grado 70. Si le mando grado 50 me lo devuelve."</t>
  </si>
  <si>
    <t>Una proyeccion en total de tallos no le sirve a comercial. La unidad util del negocio es la combinacion variedad-grado-semana.</t>
  </si>
  <si>
    <t>La unidad comercial es (variedad, grado, semana). La distribucion por grado varia por variedad y por epoca del ano.</t>
  </si>
  <si>
    <t>RF-006</t>
  </si>
  <si>
    <t>El sistema debe desagregar la proyeccion por grado de calidad, usando la distribucion historica de grados por variedad y periodo.</t>
  </si>
  <si>
    <t>Dado un total proyectado para una semana y variedad, cuando se desagrega por grado, entonces la suma de los grados es exactamente igual al total proyectado y cada grado muestra el porcentaje aplicado y su origen historico.</t>
  </si>
  <si>
    <t>"Comercial vende sobre lo que yo le digo por telefono. Dos veces este ano vendimos flor que no existia y tocamos comprarle a un vecino."</t>
  </si>
  <si>
    <t>No hay contraste entre oferta proyectada y demanda comprometida, y el canal es verbal. La sobreventa ya tiene costo directo documentado, lo que convierte esto en el requisito de mayor retorno.</t>
  </si>
  <si>
    <t>No se debe comprometer volumen superior al proyectado disponible sin aprobacion explicita de Gerencia.</t>
  </si>
  <si>
    <t>RF-007</t>
  </si>
  <si>
    <t>El sistema debe mostrar, por semana, variedad y grado, el volumen proyectado, el comprometido y el disponible, y alertar cuando el comprometido supere al proyectado.</t>
  </si>
  <si>
    <t>Dado un pedido que hace que el comprometido supere al proyectado en cualquier combinacion semana-variedad-grado, cuando se guarda, entonces el sistema marca la celda en rojo, exige confirmacion de un usuario con rol Gerencia y notifica al rol Comercial.</t>
  </si>
  <si>
    <t>"Yo creo que le pegamos bien, pero la verdad nunca lo hemos medido."</t>
  </si>
  <si>
    <t>No existe linea base de exactitud. Sin medirla no se puede fijar una meta ni demostrar despues que el sistema mejoro algo. Hay que construirla con datos historicos antes de comprometer cifras.</t>
  </si>
  <si>
    <t>SUPUESTO A VALIDAR: se asume desviacion actual del 15-20%. Debe confirmarse contra 12 meses de aforos y cortes reales.</t>
  </si>
  <si>
    <t>RF-008</t>
  </si>
  <si>
    <t>El sistema debe registrar el corte real por semana, variedad y grado, y compararlo automaticamente contra lo proyectado calculando la desviacion.</t>
  </si>
  <si>
    <t>Dada una semana cerrada, cuando se consulta el reporte de desviacion, entonces se muestra proyectado, real, desviacion absoluta y porcentual por variedad y grado, con exportacion a Excel.</t>
  </si>
  <si>
    <t>Should</t>
  </si>
  <si>
    <t>"Si el muchacho se equivoca contando, se tacha la planilla y ya. Nadie lleva cuenta de eso."</t>
  </si>
  <si>
    <t>No hay control de cambios. Con certificacion de por medio esto es un hallazgo de auditoria, y ademas impide investigar por que una proyeccion fallo.</t>
  </si>
  <si>
    <t>Todo dato registrado es corregible pero nunca se sobrescribe: el valor original se conserva.</t>
  </si>
  <si>
    <t>RF-009</t>
  </si>
  <si>
    <t>El sistema debe permitir corregir registros conservando el valor original, el autor, la fecha y el motivo de la correccion.</t>
  </si>
  <si>
    <t>Dado un registro corregido, cuando se consulta su historial, entonces se ven todas las versiones con autor, fecha, valor anterior y motivo. Solo los roles Supervisor e Ingeniero pueden corregir; el aforador no.</t>
  </si>
  <si>
    <t>"Tenemos Florverde. Nos piden el registro de aplicaciones con producto, dosis, responsable y el periodo de reentrada."</t>
  </si>
  <si>
    <t>Requisito regulatorio no negociable. Define campos obligatorios y un reporte de formato fijo; no se puede recortar del alcance para llegar a la fecha.</t>
  </si>
  <si>
    <t>Toda aplicacion fitosanitaria debe quedar registrada con los campos exigidos por la certificacion antes de cerrar la jornada.</t>
  </si>
  <si>
    <t>RF-010</t>
  </si>
  <si>
    <t>El sistema debe registrar aplicaciones fitosanitarias con producto, ingrediente activo, dosis, area tratada, responsable, fecha y hora, y periodo de reentrada, y generar el reporte exigido por la certificacion.</t>
  </si>
  <si>
    <t>Dado un registro de aplicacion incompleto, cuando el usuario intenta guardar, entonces el sistema lo impide e indica los campos faltantes. Dado un periodo seleccionado, el reporte de certificacion se genera en PDF y Excel con todos los campos exigidos.</t>
  </si>
  <si>
    <t>"En San Valentin pasamos de 30 mil a 180 mil tallos diarios y metemos como 200 temporales."</t>
  </si>
  <si>
    <t>La carga se multiplica por seis en pico y entran muchos usuarios nuevos y poco entrenados. Esto no es un requisito funcional: es de rendimiento y de gestion de usuarios, y hay que separarlo para no esconderlo.</t>
  </si>
  <si>
    <t>La capacidad debe dimensionarse sobre el pico, no sobre el promedio. Alta masiva de usuarios temporales por temporada.</t>
  </si>
  <si>
    <t>RNF-001</t>
  </si>
  <si>
    <t>El sistema debe sostener el volumen de temporada pico (6x el promedio) y permitir el alta masiva de usuarios temporales con vigencia limitada.</t>
  </si>
  <si>
    <t>Dada una carga de 180.000 tallos registrados en un dia y 250 usuarios concurrentes, cuando se ejecuta la prueba de carga, entonces ninguna operacion de guardado supera 3 segundos y no hay perdida de registros. El alta masiva se hace por archivo y la cuenta caduca en la fecha indicada.</t>
  </si>
  <si>
    <t>Como se redacta un buen requisito</t>
  </si>
  <si>
    <t>Una sola capacidad por requisito</t>
  </si>
  <si>
    <t>Si el enunciado tiene un 'y' que une dos verbos, son dos requisitos. Partelos.</t>
  </si>
  <si>
    <t>Verbo observable</t>
  </si>
  <si>
    <t>Registrar, calcular, mostrar, notificar, impedir. Nunca 'gestionar', 'manejar' ni 'optimizar': no se pueden probar.</t>
  </si>
  <si>
    <t>Sin solucion tecnica</t>
  </si>
  <si>
    <t>Di 'debe operar sin conexion', no 'debe usar SQLite'. La tecnologia es decision del equipo, no del requisito.</t>
  </si>
  <si>
    <t>Criterio en formato Dado/Cuando/Entonces</t>
  </si>
  <si>
    <t>Si no puedes escribir el Entonces con un numero o un estado verificable, el requisito todavia esta crudo.</t>
  </si>
  <si>
    <t>Cada requisito apunta a su origen</t>
  </si>
  <si>
    <t>Columna Origen con el ID de la pregunta y el nombre del entrevistado. Cuando alguien pregunte de donde salio, tienes la cita.</t>
  </si>
  <si>
    <t>Separa funcional de no funcional</t>
  </si>
  <si>
    <t>Rendimiento, disponibilidad, seguridad y usabilidad van aparte. Escondidos entre los funcionales, nadie los estima ni los prueba.</t>
  </si>
  <si>
    <t>Catalogo de requisitos</t>
  </si>
  <si>
    <t>Entregable formal. Las filas verdes vienen del ejemplo de la hoja anterior: reemplazalas por tus requisitos reales. Las columnas Prioridad, Estado y Tipo tienen lista desplegable. El Tablero se actualiza solo con lo que escribas aqui.</t>
  </si>
  <si>
    <t>Modulo</t>
  </si>
  <si>
    <t>Tipo</t>
  </si>
  <si>
    <t>Actor / Rol</t>
  </si>
  <si>
    <t>Regla de negocio asociada</t>
  </si>
  <si>
    <t>Criterio de aceptacion</t>
  </si>
  <si>
    <t>Origen (pregunta / persona)</t>
  </si>
  <si>
    <t>Prioridad</t>
  </si>
  <si>
    <t>Estado</t>
  </si>
  <si>
    <t>Depende de</t>
  </si>
  <si>
    <t>Notas</t>
  </si>
  <si>
    <t>Aforo en campo</t>
  </si>
  <si>
    <t>Funcional</t>
  </si>
  <si>
    <t>Aforador</t>
  </si>
  <si>
    <t>El aforo es semanal y la unidad minima de conteo es la cama.</t>
  </si>
  <si>
    <t>Dado un aforador autenticado, cuando selecciona bloque y cama e ingresa el conteo por estado fenologico, entonces el registro se guarda con fecha, hora y usuario, y queda disponible en menos de 5 segundos.</t>
  </si>
  <si>
    <t>P16 / Ing. de campo</t>
  </si>
  <si>
    <t>Validado</t>
  </si>
  <si>
    <t>Nucleo del sistema</t>
  </si>
  <si>
    <t>La aplicacion movil de captura debe operar sin conexion y sincronizar automaticamente al recuperar la red.</t>
  </si>
  <si>
    <t>Restriccion del entorno: no hay cobertura de red en parte de los bloques.</t>
  </si>
  <si>
    <t>Dado un dispositivo sin conexion, cuando el usuario registra aforos, entonces se almacenan localmente y se sincronizan sin intervencion al detectar red, sin perdidas ni duplicados (prueba con 200 registros).</t>
  </si>
  <si>
    <t>P29 / Ing. de campo</t>
  </si>
  <si>
    <t>Restriccion no negociable</t>
  </si>
  <si>
    <t>Parametrizacion</t>
  </si>
  <si>
    <t>El sistema debe permitir parametrizar, por variedad y estado fenologico, los dias estimados a corte, con ajuste por rango de temperatura.</t>
  </si>
  <si>
    <t>Ingeniero</t>
  </si>
  <si>
    <t>Los dias a corte varian por variedad y por temperatura promedio del periodo.</t>
  </si>
  <si>
    <t>Dado un rol Ingeniero, cuando edita la tabla de dias a corte, entonces el cambio aplica solo a proyecciones futuras, las publicadas no se alteran y queda registro de autor, fecha y valor anterior.</t>
  </si>
  <si>
    <t>P17 / Ing. de campo</t>
  </si>
  <si>
    <t>Hoy es conocimiento tacito</t>
  </si>
  <si>
    <t>Proyeccion</t>
  </si>
  <si>
    <t>El sistema debe calcular la proyeccion de corte semanal a partir del ultimo aforo, aplicando los dias a corte parametrizados.</t>
  </si>
  <si>
    <t>Proyeccion = tallos aforados distribuidos segun dias a corte del estado fenologico.</t>
  </si>
  <si>
    <t>Dado un aforo registrado, cuando se solicita la proyeccion, entonces se distribuyen los tallos por semana, variedad y bloque en menos de 10 segundos para 20 ha.</t>
  </si>
  <si>
    <t>P15 / Ing. de campo</t>
  </si>
  <si>
    <t>RF-001, RF-003</t>
  </si>
  <si>
    <t>Ahorra ~16 h/mes</t>
  </si>
  <si>
    <t>Tallos vendibles = aforados x (1 - % merma). Varia por variedad y epoca.</t>
  </si>
  <si>
    <t>Dado un aforo proyectado, cuando se consulta, entonces se muestran en columnas separadas tallos aforados, % merma y tallos vendibles, de forma auditable a mano.</t>
  </si>
  <si>
    <t>P18 / Ing. de campo</t>
  </si>
  <si>
    <t>El sistema debe desagregar la proyeccion por grado de calidad usando la distribucion historica por variedad y periodo.</t>
  </si>
  <si>
    <t>Comercial</t>
  </si>
  <si>
    <t>La unidad comercial es (variedad, grado, semana), no el tallo total.</t>
  </si>
  <si>
    <t>Dado un total proyectado, cuando se desagrega por grado, entonces la suma de los grados es exactamente igual al total y cada grado muestra el % aplicado y su origen historico.</t>
  </si>
  <si>
    <t>P19 / Gerente comercial</t>
  </si>
  <si>
    <t>Requiere historico de grados</t>
  </si>
  <si>
    <t>El sistema debe mostrar por semana, variedad y grado el volumen proyectado, comprometido y disponible, y alertar cuando el comprometido supere al proyectado.</t>
  </si>
  <si>
    <t>No se compromete volumen superior al disponible sin aprobacion de Gerencia.</t>
  </si>
  <si>
    <t>Dado un pedido que excede lo proyectado, cuando se guarda, entonces la celda se marca, se exige confirmacion de rol Gerencia y se notifica a Comercial.</t>
  </si>
  <si>
    <t>P25 / Gerente comercial</t>
  </si>
  <si>
    <t>Mayor retorno percibido</t>
  </si>
  <si>
    <t>Control</t>
  </si>
  <si>
    <t>El sistema debe registrar el corte real por semana, variedad y grado y compararlo contra lo proyectado calculando la desviacion.</t>
  </si>
  <si>
    <t>Supuesto por validar: desviacion actual estimada 15-20%.</t>
  </si>
  <si>
    <t>Dada una semana cerrada, cuando se consulta el reporte, entonces se muestra proyectado, real, desviacion absoluta y porcentual, exportable a Excel.</t>
  </si>
  <si>
    <t>P22 / Ing. de campo</t>
  </si>
  <si>
    <t>Por validar</t>
  </si>
  <si>
    <t>Falta linea base historica</t>
  </si>
  <si>
    <t>Auditoria</t>
  </si>
  <si>
    <t>El sistema debe permitir corregir registros conservando valor original, autor, fecha y motivo.</t>
  </si>
  <si>
    <t>Supervisor</t>
  </si>
  <si>
    <t>Todo dato es corregible pero nunca se sobrescribe.</t>
  </si>
  <si>
    <t>Dado un registro corregido, cuando se consulta su historial, entonces se ven todas las versiones con autor, fecha, valor anterior y motivo. El aforador no puede corregir.</t>
  </si>
  <si>
    <t>P33 / Ing. de campo</t>
  </si>
  <si>
    <t>Exigido por certificacion</t>
  </si>
  <si>
    <t>Sanidad y labores</t>
  </si>
  <si>
    <t>El sistema debe registrar aplicaciones fitosanitarias con producto, ingrediente activo, dosis, area, responsable, fecha y periodo de reentrada, y generar el reporte de certificacion.</t>
  </si>
  <si>
    <t>Requisito regulatorio Florverde. No recortable del alcance.</t>
  </si>
  <si>
    <t>Dado un registro incompleto, cuando se intenta guardar, entonces se impide e indica los campos faltantes. El reporte del periodo se genera en PDF y Excel.</t>
  </si>
  <si>
    <t>P37 / Jefe de calidad</t>
  </si>
  <si>
    <t>Verificar formato vigente</t>
  </si>
  <si>
    <t>Rendimiento</t>
  </si>
  <si>
    <t>No funcional</t>
  </si>
  <si>
    <t>El sistema debe sostener el volumen de temporada pico (6x el promedio) y permitir alta masiva de usuarios temporales con vigencia limitada.</t>
  </si>
  <si>
    <t>Administrador</t>
  </si>
  <si>
    <t>La capacidad se dimensiona sobre el pico, no sobre el promedio.</t>
  </si>
  <si>
    <t>Dada una carga de 180.000 tallos/dia y 250 usuarios concurrentes, ninguna operacion de guardado supera 3 segundos y no hay perdida de registros.</t>
  </si>
  <si>
    <t>P41 / Gerente general</t>
  </si>
  <si>
    <t>San Valentin y Dia de la Madre</t>
  </si>
  <si>
    <t>Tablero de avance del levantamiento</t>
  </si>
  <si>
    <t>Se calcula automaticamente sobre la hoja Catalogo Requisitos (filas 5 a 120).</t>
  </si>
  <si>
    <t>Por prioridad (MoSCoW)</t>
  </si>
  <si>
    <t>Por tipo</t>
  </si>
  <si>
    <t>Could</t>
  </si>
  <si>
    <t>Regla de negocio</t>
  </si>
  <si>
    <t>Wont</t>
  </si>
  <si>
    <t>Restriccion</t>
  </si>
  <si>
    <t>Por estado de validacion</t>
  </si>
  <si>
    <t>Total registrado</t>
  </si>
  <si>
    <t>Propuesto</t>
  </si>
  <si>
    <t>Requisitos en el catalogo</t>
  </si>
  <si>
    <t>% ya validado o aprobado</t>
  </si>
  <si>
    <t>Aprobado</t>
  </si>
  <si>
    <t>Descartado</t>
  </si>
  <si>
    <t>Regla practica: si al cerrar el levantamiento tienes mas de un 20% de requisitos en estado 'Por validar', todavia no estas listo para estimar el proyecto.</t>
  </si>
  <si>
    <t>Reglas de negocio y sus excepciones</t>
  </si>
  <si>
    <t>Nunca aceptes una regla sin preguntar por su excepcion. La pregunta exacta es: 'y cuando NO se cumple esto?'. Las filas verdes son ejemplos; las amarillas son para tus reglas.</t>
  </si>
  <si>
    <t>Excepcion conocida</t>
  </si>
  <si>
    <t>Frecuencia de la excepcion</t>
  </si>
  <si>
    <t>Quien la confirmo</t>
  </si>
  <si>
    <t>Impacto si el sistema la ignora</t>
  </si>
  <si>
    <t>RN-01</t>
  </si>
  <si>
    <t>El aforo se hace todos los lunes a nivel de cama.</t>
  </si>
  <si>
    <t>En semana de San Valentin se aforan tres veces por semana y solo en los bloques comprometidos.</t>
  </si>
  <si>
    <t>2-3 semanas/ano</t>
  </si>
  <si>
    <t>Ing. de campo</t>
  </si>
  <si>
    <t>El sistema bloquearia aforos fuera del lunes justo en la semana mas critica del ano.</t>
  </si>
  <si>
    <t>Validada</t>
  </si>
  <si>
    <t>RN-02</t>
  </si>
  <si>
    <t>Cada cama tiene una sola variedad.</t>
  </si>
  <si>
    <t>En bloques viejos hay camas con dos variedades mezcladas por resiembras parciales.</t>
  </si>
  <si>
    <t>~8% de las camas</t>
  </si>
  <si>
    <t>El modelo de datos con relacion 1 a 1 obligaria a un rediseno costoso a mitad del proyecto.</t>
  </si>
  <si>
    <t>RN-03</t>
  </si>
  <si>
    <t>Tallos vendibles = tallos aforados x (1 - % merma).</t>
  </si>
  <si>
    <t>Tras una granizada o una helada la merma se define caso por caso, no por tabla.</t>
  </si>
  <si>
    <t>1-2 veces/ano</t>
  </si>
  <si>
    <t>Sin override manual, la proyeccion quedaria absurda justo cuando mas se necesita ajustarla.</t>
  </si>
  <si>
    <t>RN-04</t>
  </si>
  <si>
    <t>No se compromete volumen superior al proyectado disponible.</t>
  </si>
  <si>
    <t>Gerencia autoriza sobreventa cuando se puede comprar a fincas vecinas.</t>
  </si>
  <si>
    <t>Ocasional en picos</t>
  </si>
  <si>
    <t>Gerente comercial</t>
  </si>
  <si>
    <t>Un bloqueo duro haria que comercial deje de usar el sistema y vuelva al telefono.</t>
  </si>
  <si>
    <t>RN-05</t>
  </si>
  <si>
    <t>La semana de finca va de lunes a domingo.</t>
  </si>
  <si>
    <t>El cierre contable usa semanas de domingo a sabado, asi que los reportes no cuadran entre si.</t>
  </si>
  <si>
    <t>Permanente</t>
  </si>
  <si>
    <t>Contabilidad</t>
  </si>
  <si>
    <t>Los numeros del sistema no conciliarian con los del area contable y se perderia la confianza en la herramienta.</t>
  </si>
  <si>
    <t>RN-06</t>
  </si>
  <si>
    <t>Solo el ingeniero modifica los parametros de dias a corte y merma.</t>
  </si>
  <si>
    <t>En vacaciones del ingeniero, el supervisor de bloque los ajusta sin dejar registro.</t>
  </si>
  <si>
    <t>1 mes/ano</t>
  </si>
  <si>
    <t>Se pierde la trazabilidad de por que cambio una proyeccion, y es hallazgo de auditoria.</t>
  </si>
  <si>
    <t>Glosario de floricultura para el analista</t>
  </si>
  <si>
    <t>Repasalo antes de la entrevista. Si no manejas este vocabulario el cliente lo nota en los primeros cinco minutos y la calidad de las respuestas cae. Confirma cada definicion con el cliente: cada finca usa los terminos a su manera.</t>
  </si>
  <si>
    <t>Termino</t>
  </si>
  <si>
    <t>Que significa</t>
  </si>
  <si>
    <t>Por que importa para el sistema</t>
  </si>
  <si>
    <t>Bloque / Nave</t>
  </si>
  <si>
    <t>Invernadero o unidad mayor del cultivo. Agrupa varias camas.</t>
  </si>
  <si>
    <t>Primer nivel de la jerarquia de datos y unidad tipica de asignacion de personal.</t>
  </si>
  <si>
    <t>Cama</t>
  </si>
  <si>
    <t>Era de siembra dentro de un bloque. Es la unidad minima de manejo y de conteo.</t>
  </si>
  <si>
    <t>Suele ser la unidad de registro del aforo. Define la granularidad de casi todo el sistema.</t>
  </si>
  <si>
    <t>Aforo</t>
  </si>
  <si>
    <t>Conteo de botones o tallos en desarrollo, clasificados por estado, para estimar el corte futuro.</t>
  </si>
  <si>
    <t>Es la entrada principal del motor de proyeccion. Sin aforo confiable no hay proyeccion confiable.</t>
  </si>
  <si>
    <t>Estado fenologico</t>
  </si>
  <si>
    <t>Etapa de desarrollo del boton (arveja, garbanzo, rayando color, abriendo, segun la finca).</t>
  </si>
  <si>
    <t>Cada estado se traduce en dias faltantes para el corte. Es el parametro que convierte un conteo en una fecha.</t>
  </si>
  <si>
    <t>Dias a corte</t>
  </si>
  <si>
    <t>Dias estimados entre un estado fenologico y el momento del corte.</t>
  </si>
  <si>
    <t>Parametro configurable por variedad y temperatura. Nunca lo dejes fijo en el codigo.</t>
  </si>
  <si>
    <t>Punto de corte</t>
  </si>
  <si>
    <t>Momento optimo para cortar el tallo segun apertura y destino comercial.</t>
  </si>
  <si>
    <t>Varia por cliente y por distancia de envio. Puede cambiar la fecha proyectada de disponibilidad.</t>
  </si>
  <si>
    <t>Grado</t>
  </si>
  <si>
    <t>Clasificacion comercial por longitud de tallo (40, 50, 60, 70, 80, 90 cm).</t>
  </si>
  <si>
    <t>La proyeccion debe desagregarse por grado; el total de tallos no sirve para vender.</t>
  </si>
  <si>
    <t>Merma</t>
  </si>
  <si>
    <t>Porcentaje de tallos aforados que no llegan a ser vendibles.</t>
  </si>
  <si>
    <t>Factor de conversion clave. Varia por variedad, epoca y sanidad; debe ser parametrico y auditable.</t>
  </si>
  <si>
    <t>Poscosecha</t>
  </si>
  <si>
    <t>Area donde se clasifica, hidrata, arma y empaca la flor.</t>
  </si>
  <si>
    <t>Es donde se conoce el corte real. Fuente del dato para medir desviacion contra la proyeccion.</t>
  </si>
  <si>
    <t>Ramo / Bunch</t>
  </si>
  <si>
    <t>Unidad de empaque, normalmente 25 tallos.</t>
  </si>
  <si>
    <t>El cliente compra en ramos o cajas, no en tallos. Requiere conversion de unidades en la proyeccion.</t>
  </si>
  <si>
    <t>Tabaco / Caja</t>
  </si>
  <si>
    <t>Unidad de exportacion que agrupa varios ramos.</t>
  </si>
  <si>
    <t>Unidad de planeacion logistica y de costo de empaque.</t>
  </si>
  <si>
    <t>Pinchado / Pinch</t>
  </si>
  <si>
    <t>Despunte de la planta para inducir brotacion y programar la floracion.</t>
  </si>
  <si>
    <t>Es la palanca de planeacion hacia una fecha objetivo. Debe registrarse porque determina el ciclo.</t>
  </si>
  <si>
    <t>Desyeme / Descabece</t>
  </si>
  <si>
    <t>Eliminacion de botones laterales o del boton apical.</t>
  </si>
  <si>
    <t>Labor que afecta el numero de tallos por planta y por tanto la proyeccion.</t>
  </si>
  <si>
    <t>Botrytis</t>
  </si>
  <si>
    <t>Hongo que mancha el petalo. El problema sanitario mas costoso en rosa.</t>
  </si>
  <si>
    <t>Principal causa de merma en epoca fria. Vincula el modulo sanitario con el de proyeccion.</t>
  </si>
  <si>
    <t>Trips / Acaros</t>
  </si>
  <si>
    <t>Plagas de monitoreo permanente, con umbrales de accion definidos.</t>
  </si>
  <si>
    <t>Motivan el registro de monitoreo por cama y las alertas por umbral.</t>
  </si>
  <si>
    <t>Periodo de reentrada</t>
  </si>
  <si>
    <t>Tiempo minimo tras una aplicacion antes de que alguien pueda entrar al area.</t>
  </si>
  <si>
    <t>Campo obligatorio para certificacion y para seguridad del personal. El sistema debe calcularlo y alertar.</t>
  </si>
  <si>
    <t>Florverde / GlobalG.A.P.</t>
  </si>
  <si>
    <t>Certificaciones de produccion sostenible y buenas practicas agricolas.</t>
  </si>
  <si>
    <t>Imponen campos obligatorios y reportes de formato fijo. No son negociables ni recortables del alcance.</t>
  </si>
  <si>
    <t>San Valentin / Dia de la Madre</t>
  </si>
  <si>
    <t>Los dos picos de demanda del ano en flor de corte.</t>
  </si>
  <si>
    <t>Definen el pico de carga del sistema y el momento en que un fallo cuesta mas caro.</t>
  </si>
  <si>
    <t>Erradicacion / Renovacion</t>
  </si>
  <si>
    <t>Retiro de plantas agotadas y siembra de material nuevo.</t>
  </si>
  <si>
    <t>Cambia la capacidad productiva futura. La proyeccion de largo plazo debe considerarlo.</t>
  </si>
  <si>
    <t>Tallos/m2/ano</t>
  </si>
  <si>
    <t>Indicador de productividad por area.</t>
  </si>
  <si>
    <t>Metrica de referencia para validar si una proyeccion tiene sentido o esta desviada.</t>
  </si>
  <si>
    <t>Supuestos, preguntas abiertas y riesgos</t>
  </si>
  <si>
    <t>Todo lo que quedo sin respuesta va aqui, con responsable y fecha. Un supuesto sin validar es un requisito equivocado esperando su turno.</t>
  </si>
  <si>
    <t>Descripcion</t>
  </si>
  <si>
    <t>Impacto si no se resuelve</t>
  </si>
  <si>
    <t>Responsable</t>
  </si>
  <si>
    <t>Fecha limite</t>
  </si>
  <si>
    <t>PE-01</t>
  </si>
  <si>
    <t>Dato requerido</t>
  </si>
  <si>
    <t>Aforos y cortes reales de los ultimos 12 meses, por variedad y grado.</t>
  </si>
  <si>
    <t>Sin historico no se puede calcular la distribucion por grado (RF-006) ni la linea base de exactitud (RF-008).</t>
  </si>
  <si>
    <t>Abierto</t>
  </si>
  <si>
    <t>PE-02</t>
  </si>
  <si>
    <t>Supuesto</t>
  </si>
  <si>
    <t>Se asume que la desviacion actual de la proyeccion es del 15-20%.</t>
  </si>
  <si>
    <t>Si la desviacion real es mucho mayor, la meta del proyecto y su justificacion economica cambian.</t>
  </si>
  <si>
    <t>Analista</t>
  </si>
  <si>
    <t>PE-03</t>
  </si>
  <si>
    <t>Pregunta abierta</t>
  </si>
  <si>
    <t>Que hacen exactamente con las camas que tienen dos variedades mezcladas?</t>
  </si>
  <si>
    <t>Define si el modelo de datos permite varias variedades por cama. Cambiarlo despues es caro.</t>
  </si>
  <si>
    <t>PE-04</t>
  </si>
  <si>
    <t>Riesgo</t>
  </si>
  <si>
    <t>No hay cobertura de red en la mitad de los bloques.</t>
  </si>
  <si>
    <t>Obliga a arquitectura offline con sincronizacion y resolucion de conflictos. Impacta esfuerzo y plazo.</t>
  </si>
  <si>
    <t>Arquitecto</t>
  </si>
  <si>
    <t>PE-05</t>
  </si>
  <si>
    <t>La definicion de semana difiere entre finca y contabilidad (RN-05).</t>
  </si>
  <si>
    <t>Los reportes no conciliarian entre areas y el sistema perderia credibilidad al primer cierre de mes.</t>
  </si>
  <si>
    <t>Gerencia</t>
  </si>
  <si>
    <t>PE-06</t>
  </si>
  <si>
    <t>Que gama de dispositivos moviles tienen los supervisores y quien los provee?</t>
  </si>
  <si>
    <t>Determina requisitos minimos de la app y si hay que presupuestar hardware.</t>
  </si>
  <si>
    <t>TI cliente</t>
  </si>
  <si>
    <t>PE-07</t>
  </si>
  <si>
    <t>El modelo de proyeccion depende del criterio de una sola persona.</t>
  </si>
  <si>
    <t>Riesgo de dependencia clave. Hay que documentar y parametrizar ese criterio antes de que rote.</t>
  </si>
  <si>
    <t>PE-08</t>
  </si>
  <si>
    <t>Formato vigente del reporte exigido por la certificacion.</t>
  </si>
  <si>
    <t>Sin el formato exacto, RF-010 no se puede dar por cumplido en auditoria.</t>
  </si>
  <si>
    <t>Jefe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</si>
</sst>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2" x14ac:knownFonts="1">
    <font>
      <sz val="11"/>
      <color theme="1"/>
      <name val="Calibri"/>
      <family val="2"/>
      <charset val="1"/>
    </font>
    <font>
      <b/>
      <sz val="16"/>
      <color rgb="FF1F3864"/>
      <name val="Arial"/>
      <charset val="1"/>
    </font>
    <font>
      <i/>
      <sz val="10"/>
      <color rgb="FF595959"/>
      <name val="Arial"/>
      <charset val="1"/>
    </font>
    <font>
      <b/>
      <sz val="12"/>
      <color rgb="FF1F3864"/>
      <name val="Arial"/>
      <charset val="1"/>
    </font>
    <font>
      <sz val="10"/>
      <name val="Arial"/>
      <charset val="1"/>
    </font>
    <font>
      <b/>
      <sz val="10"/>
      <color rgb="FF000000"/>
      <name val="Arial"/>
      <charset val="1"/>
    </font>
    <font>
      <b/>
      <sz val="10"/>
      <color rgb="FFFFFFFF"/>
      <name val="Arial"/>
      <charset val="1"/>
    </font>
    <font>
      <b/>
      <sz val="10"/>
      <name val="Arial"/>
      <charset val="1"/>
    </font>
    <font>
      <sz val="9"/>
      <color rgb="FF404040"/>
      <name val="Arial"/>
      <charset val="1"/>
    </font>
    <font>
      <i/>
      <sz val="9"/>
      <color rgb="FF404040"/>
      <name val="Arial"/>
      <charset val="1"/>
    </font>
    <font>
      <sz val="9"/>
      <name val="Arial"/>
      <charset val="1"/>
    </font>
    <font>
      <i/>
      <sz val="9"/>
      <color rgb="FF0F4761"/>
      <name val="Arial"/>
      <charset val="1"/>
    </font>
    <font>
      <b/>
      <sz val="9"/>
      <name val="Arial"/>
      <charset val="1"/>
    </font>
    <font>
      <b/>
      <sz val="11"/>
      <color rgb="FFFFFFFF"/>
      <name val="Arial"/>
      <charset val="1"/>
    </font>
    <font>
      <b/>
      <sz val="14"/>
      <color rgb="FF1F3864"/>
      <name val="Arial"/>
      <charset val="1"/>
    </font>
    <font>
      <b/>
      <sz val="14"/>
      <color rgb="FF1F7A3D"/>
      <name val="Arial"/>
      <charset val="1"/>
    </font>
    <font>
      <i/>
      <sz val="10"/>
      <color rgb="FF843C0C"/>
      <name val="Arial"/>
      <charset val="1"/>
    </font>
    <font>
      <sz val="9"/>
      <color rgb="FF843C0C"/>
      <name val="Arial"/>
      <charset val="1"/>
    </font>
    <font>
      <b/>
      <sz val="10"/>
      <color rgb="FF1F3864"/>
      <name val="Arial"/>
      <charset val="1"/>
    </font>
    <font>
      <sz val="10"/>
      <color rgb="FF404040"/>
      <name val="Arial"/>
      <charset val="1"/>
    </font>
    <font>
      <sz val="10"/>
      <name val="Arial"/>
    </font>
    <font>
      <i/>
      <sz val="10"/>
      <color rgb="FF595959"/>
      <name val="Arial"/>
    </font>
  </fonts>
  <fills count="8">
    <fill>
      <patternFill patternType="none"/>
    </fill>
    <fill>
      <patternFill patternType="gray125"/>
    </fill>
    <fill>
      <patternFill patternType="solid">
        <fgColor rgb="FFFFF2CC"/>
        <bgColor rgb="FFFCE4D6"/>
      </patternFill>
    </fill>
    <fill>
      <patternFill patternType="solid">
        <fgColor rgb="FFE2EFDA"/>
        <bgColor rgb="FFF2F2F2"/>
      </patternFill>
    </fill>
    <fill>
      <patternFill patternType="solid">
        <fgColor rgb="FFFCE4D6"/>
        <bgColor rgb="FFFFF2CC"/>
      </patternFill>
    </fill>
    <fill>
      <patternFill patternType="solid">
        <fgColor rgb="FF1F3864"/>
        <bgColor rgb="FF0F4761"/>
      </patternFill>
    </fill>
    <fill>
      <patternFill patternType="solid">
        <fgColor rgb="FFF2F2F2"/>
        <bgColor rgb="FFE2EFDA"/>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3" fillId="0" borderId="0" xfId="0" applyFont="1"/>
    <xf numFmtId="0" fontId="0" fillId="2" borderId="1" xfId="0" applyFill="1" applyBorder="1"/>
    <xf numFmtId="0" fontId="4" fillId="0" borderId="0" xfId="0" applyFont="1"/>
    <xf numFmtId="0" fontId="0" fillId="3" borderId="1" xfId="0" applyFill="1" applyBorder="1"/>
    <xf numFmtId="0" fontId="0" fillId="4" borderId="1" xfId="0" applyFill="1" applyBorder="1"/>
    <xf numFmtId="0" fontId="6" fillId="5"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6" borderId="1" xfId="0" applyFont="1" applyFill="1" applyBorder="1" applyAlignment="1">
      <alignment horizontal="center" vertical="top"/>
    </xf>
    <xf numFmtId="0" fontId="4" fillId="6" borderId="1" xfId="0" applyFont="1" applyFill="1" applyBorder="1" applyAlignment="1">
      <alignmen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9" fillId="4" borderId="1" xfId="0" applyFont="1" applyFill="1" applyBorder="1" applyAlignment="1">
      <alignment vertical="top" wrapText="1"/>
    </xf>
    <xf numFmtId="0" fontId="10" fillId="3" borderId="1" xfId="0" applyFont="1" applyFill="1" applyBorder="1" applyAlignment="1">
      <alignment horizontal="center" vertical="top"/>
    </xf>
    <xf numFmtId="0" fontId="10" fillId="3" borderId="1" xfId="0" applyFont="1" applyFill="1" applyBorder="1" applyAlignment="1">
      <alignment vertical="top" wrapText="1"/>
    </xf>
    <xf numFmtId="0" fontId="11" fillId="3" borderId="1" xfId="0" applyFont="1" applyFill="1" applyBorder="1" applyAlignment="1">
      <alignment vertical="top" wrapText="1"/>
    </xf>
    <xf numFmtId="0" fontId="12" fillId="3" borderId="1" xfId="0" applyFont="1" applyFill="1" applyBorder="1" applyAlignment="1">
      <alignment horizontal="center" vertical="top"/>
    </xf>
    <xf numFmtId="0" fontId="12" fillId="3" borderId="1" xfId="0" applyFont="1" applyFill="1" applyBorder="1" applyAlignment="1">
      <alignment vertical="top" wrapText="1"/>
    </xf>
    <xf numFmtId="0" fontId="10" fillId="4" borderId="1" xfId="0" applyFont="1" applyFill="1" applyBorder="1" applyAlignment="1">
      <alignment horizontal="center" vertical="top"/>
    </xf>
    <xf numFmtId="0" fontId="10" fillId="4" borderId="1" xfId="0" applyFont="1" applyFill="1" applyBorder="1" applyAlignment="1">
      <alignment vertical="top" wrapText="1"/>
    </xf>
    <xf numFmtId="0" fontId="11" fillId="4" borderId="1" xfId="0" applyFont="1" applyFill="1" applyBorder="1" applyAlignment="1">
      <alignment vertical="top" wrapText="1"/>
    </xf>
    <xf numFmtId="0" fontId="12" fillId="4" borderId="1" xfId="0" applyFont="1" applyFill="1" applyBorder="1" applyAlignment="1">
      <alignment horizontal="center" vertical="top"/>
    </xf>
    <xf numFmtId="0" fontId="12" fillId="4" borderId="1" xfId="0" applyFont="1" applyFill="1" applyBorder="1" applyAlignment="1">
      <alignment vertical="top" wrapText="1"/>
    </xf>
    <xf numFmtId="0" fontId="7" fillId="0" borderId="0" xfId="0" applyFont="1" applyAlignment="1">
      <alignment vertical="top" wrapText="1"/>
    </xf>
    <xf numFmtId="0" fontId="12" fillId="3" borderId="1" xfId="0" applyFont="1" applyFill="1" applyBorder="1" applyAlignment="1">
      <alignment horizontal="center" vertical="top" wrapText="1"/>
    </xf>
    <xf numFmtId="0" fontId="10" fillId="3" borderId="1" xfId="0" applyFont="1" applyFill="1" applyBorder="1" applyAlignment="1">
      <alignment horizontal="center" vertical="top" wrapText="1"/>
    </xf>
    <xf numFmtId="0" fontId="10" fillId="2" borderId="1" xfId="0" applyFont="1" applyFill="1" applyBorder="1" applyAlignment="1">
      <alignment vertical="top" wrapText="1"/>
    </xf>
    <xf numFmtId="0" fontId="13" fillId="5" borderId="1" xfId="0" applyFont="1" applyFill="1" applyBorder="1"/>
    <xf numFmtId="0" fontId="0" fillId="5" borderId="1" xfId="0" applyFill="1" applyBorder="1"/>
    <xf numFmtId="0" fontId="4" fillId="0" borderId="1" xfId="0" applyFont="1" applyBorder="1"/>
    <xf numFmtId="1" fontId="7" fillId="0" borderId="1" xfId="0" applyNumberFormat="1" applyFont="1" applyBorder="1" applyAlignment="1">
      <alignment horizontal="center"/>
    </xf>
    <xf numFmtId="0" fontId="13" fillId="5" borderId="0" xfId="0" applyFont="1" applyFill="1"/>
    <xf numFmtId="0" fontId="0" fillId="5" borderId="0" xfId="0" applyFill="1"/>
    <xf numFmtId="0" fontId="14" fillId="0" borderId="0" xfId="0" applyFont="1" applyAlignment="1">
      <alignment horizontal="center"/>
    </xf>
    <xf numFmtId="164" fontId="15" fillId="0" borderId="0" xfId="0" applyNumberFormat="1" applyFont="1" applyAlignment="1">
      <alignment horizontal="center"/>
    </xf>
    <xf numFmtId="0" fontId="16" fillId="0" borderId="0" xfId="0" applyFont="1"/>
    <xf numFmtId="0" fontId="17" fillId="3" borderId="1" xfId="0" applyFont="1" applyFill="1" applyBorder="1" applyAlignment="1">
      <alignment vertical="top" wrapText="1"/>
    </xf>
    <xf numFmtId="0" fontId="18" fillId="0" borderId="1" xfId="0" applyFont="1" applyBorder="1" applyAlignment="1">
      <alignment vertical="top" wrapText="1"/>
    </xf>
    <xf numFmtId="0" fontId="19" fillId="0" borderId="1" xfId="0" applyFont="1" applyBorder="1" applyAlignment="1">
      <alignment vertical="top" wrapText="1"/>
    </xf>
    <xf numFmtId="165" fontId="10" fillId="3" borderId="1" xfId="0" applyNumberFormat="1" applyFont="1" applyFill="1" applyBorder="1" applyAlignment="1">
      <alignment vertical="top" wrapText="1"/>
    </xf>
    <xf numFmtId="165" fontId="10" fillId="4" borderId="1" xfId="0" applyNumberFormat="1" applyFont="1" applyFill="1" applyBorder="1" applyAlignment="1">
      <alignment vertical="top" wrapText="1"/>
    </xf>
    <xf numFmtId="165" fontId="10" fillId="2" borderId="1" xfId="0" applyNumberFormat="1" applyFont="1" applyFill="1" applyBorder="1" applyAlignment="1">
      <alignment vertical="top" wrapText="1"/>
    </xf>
    <xf numFmtId="0" fontId="21" fillId="0" borderId="0" xfId="0" applyFont="1"/>
    <xf numFmtId="0" fontId="4" fillId="7" borderId="1" xfId="0" applyFont="1" applyFill="1" applyBorder="1" applyAlignment="1">
      <alignment vertical="top" wrapText="1"/>
    </xf>
    <xf numFmtId="0" fontId="20" fillId="6"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7A3D"/>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0F4761"/>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topLeftCell="A3" zoomScaleNormal="100" workbookViewId="0"/>
  </sheetViews>
  <sheetFormatPr baseColWidth="10" defaultColWidth="8.6640625" defaultRowHeight="14.4" x14ac:dyDescent="0.3"/>
  <cols>
    <col min="1" max="1" width="4" customWidth="1"/>
    <col min="2" max="2" width="30" customWidth="1"/>
    <col min="3" max="3" width="95" customWidth="1"/>
  </cols>
  <sheetData>
    <row r="2" spans="2:3" ht="21" customHeight="1" x14ac:dyDescent="0.4">
      <c r="B2" s="1" t="s">
        <v>206</v>
      </c>
    </row>
    <row r="3" spans="2:3" x14ac:dyDescent="0.3">
      <c r="B3" s="53" t="s">
        <v>207</v>
      </c>
    </row>
    <row r="5" spans="2:3" ht="15.6" customHeight="1" x14ac:dyDescent="0.3">
      <c r="B5" s="3" t="s">
        <v>208</v>
      </c>
      <c r="C5" s="4"/>
    </row>
    <row r="6" spans="2:3" ht="42" customHeight="1" x14ac:dyDescent="0.3">
      <c r="B6" s="5" t="s">
        <v>209</v>
      </c>
      <c r="C6" s="4" t="s">
        <v>210</v>
      </c>
    </row>
    <row r="7" spans="2:3" ht="42" customHeight="1" x14ac:dyDescent="0.3">
      <c r="B7" s="5" t="s">
        <v>211</v>
      </c>
      <c r="C7" s="4" t="s">
        <v>212</v>
      </c>
    </row>
    <row r="8" spans="2:3" ht="42" customHeight="1" x14ac:dyDescent="0.3">
      <c r="B8" s="5" t="s">
        <v>213</v>
      </c>
      <c r="C8" s="4" t="s">
        <v>214</v>
      </c>
    </row>
    <row r="9" spans="2:3" ht="42" customHeight="1" x14ac:dyDescent="0.3">
      <c r="B9" s="5" t="s">
        <v>215</v>
      </c>
      <c r="C9" s="4" t="s">
        <v>216</v>
      </c>
    </row>
    <row r="10" spans="2:3" ht="42" customHeight="1" x14ac:dyDescent="0.3">
      <c r="B10" s="5" t="s">
        <v>217</v>
      </c>
      <c r="C10" s="4" t="s">
        <v>218</v>
      </c>
    </row>
    <row r="11" spans="2:3" ht="42" customHeight="1" x14ac:dyDescent="0.3">
      <c r="B11" s="5" t="s">
        <v>219</v>
      </c>
      <c r="C11" s="4" t="s">
        <v>220</v>
      </c>
    </row>
    <row r="12" spans="2:3" ht="42" customHeight="1" x14ac:dyDescent="0.3">
      <c r="B12" s="5" t="s">
        <v>221</v>
      </c>
      <c r="C12" s="4" t="s">
        <v>222</v>
      </c>
    </row>
    <row r="13" spans="2:3" x14ac:dyDescent="0.3">
      <c r="B13" s="5"/>
      <c r="C13" s="4"/>
    </row>
    <row r="14" spans="2:3" ht="15.6" customHeight="1" x14ac:dyDescent="0.3">
      <c r="B14" s="3" t="s">
        <v>223</v>
      </c>
      <c r="C14" s="4"/>
    </row>
    <row r="15" spans="2:3" ht="42" customHeight="1" x14ac:dyDescent="0.3">
      <c r="B15" s="5" t="s">
        <v>224</v>
      </c>
      <c r="C15" s="4" t="s">
        <v>225</v>
      </c>
    </row>
    <row r="16" spans="2:3" ht="42" customHeight="1" x14ac:dyDescent="0.3">
      <c r="B16" s="5" t="s">
        <v>226</v>
      </c>
      <c r="C16" s="4" t="s">
        <v>227</v>
      </c>
    </row>
    <row r="17" spans="2:3" ht="42" customHeight="1" x14ac:dyDescent="0.3">
      <c r="B17" s="5" t="s">
        <v>228</v>
      </c>
      <c r="C17" s="4" t="s">
        <v>229</v>
      </c>
    </row>
    <row r="18" spans="2:3" ht="42" customHeight="1" x14ac:dyDescent="0.3">
      <c r="B18" s="5" t="s">
        <v>230</v>
      </c>
      <c r="C18" s="4" t="s">
        <v>231</v>
      </c>
    </row>
    <row r="19" spans="2:3" ht="42" customHeight="1" x14ac:dyDescent="0.3">
      <c r="B19" s="5" t="s">
        <v>232</v>
      </c>
      <c r="C19" s="4" t="s">
        <v>233</v>
      </c>
    </row>
    <row r="20" spans="2:3" ht="42" customHeight="1" x14ac:dyDescent="0.3">
      <c r="B20" s="5" t="s">
        <v>234</v>
      </c>
      <c r="C20" s="4" t="s">
        <v>235</v>
      </c>
    </row>
    <row r="21" spans="2:3" ht="42" customHeight="1" x14ac:dyDescent="0.3">
      <c r="B21" s="5" t="s">
        <v>236</v>
      </c>
      <c r="C21" s="4" t="s">
        <v>237</v>
      </c>
    </row>
    <row r="23" spans="2:3" ht="15.6" customHeight="1" x14ac:dyDescent="0.3">
      <c r="B23" s="6" t="s">
        <v>238</v>
      </c>
    </row>
    <row r="24" spans="2:3" x14ac:dyDescent="0.3">
      <c r="B24" s="7"/>
      <c r="C24" s="8" t="s">
        <v>239</v>
      </c>
    </row>
    <row r="25" spans="2:3" x14ac:dyDescent="0.3">
      <c r="B25" s="9"/>
      <c r="C25" s="8" t="s">
        <v>240</v>
      </c>
    </row>
    <row r="26" spans="2:3" x14ac:dyDescent="0.3">
      <c r="B26" s="10"/>
      <c r="C26" s="8" t="s">
        <v>241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topLeftCell="B1" zoomScaleNormal="100" workbookViewId="0">
      <pane ySplit="4" topLeftCell="A46" activePane="bottomLeft" state="frozen"/>
      <selection pane="bottomLeft" activeCell="G47" sqref="G47"/>
    </sheetView>
  </sheetViews>
  <sheetFormatPr baseColWidth="10" defaultColWidth="8.6640625" defaultRowHeight="14.4" x14ac:dyDescent="0.3"/>
  <cols>
    <col min="1" max="1" width="7" customWidth="1"/>
    <col min="2" max="2" width="26" customWidth="1"/>
    <col min="3" max="3" width="9" customWidth="1"/>
    <col min="4" max="5" width="48" customWidth="1"/>
    <col min="6" max="6" width="40" customWidth="1"/>
    <col min="7" max="7" width="42" customWidth="1"/>
    <col min="8" max="8" width="34" customWidth="1"/>
  </cols>
  <sheetData>
    <row r="1" spans="1:8" ht="21" customHeight="1" x14ac:dyDescent="0.4">
      <c r="A1" s="1" t="s">
        <v>0</v>
      </c>
    </row>
    <row r="2" spans="1:8" x14ac:dyDescent="0.3">
      <c r="A2" s="2" t="s">
        <v>1</v>
      </c>
    </row>
    <row r="4" spans="1:8" ht="31.5" customHeight="1" x14ac:dyDescent="0.3">
      <c r="A4" s="11" t="s">
        <v>2</v>
      </c>
      <c r="B4" s="11" t="s">
        <v>3</v>
      </c>
      <c r="C4" s="11" t="s">
        <v>4</v>
      </c>
      <c r="D4" s="11" t="s">
        <v>5</v>
      </c>
      <c r="E4" s="11" t="s">
        <v>6</v>
      </c>
      <c r="F4" s="11" t="s">
        <v>7</v>
      </c>
      <c r="G4" s="11" t="s">
        <v>8</v>
      </c>
      <c r="H4" s="11" t="s">
        <v>9</v>
      </c>
    </row>
    <row r="5" spans="1:8" ht="57.75" customHeight="1" x14ac:dyDescent="0.3">
      <c r="A5" s="12" t="s">
        <v>10</v>
      </c>
      <c r="B5" s="13" t="s">
        <v>11</v>
      </c>
      <c r="C5" s="12" t="s">
        <v>12</v>
      </c>
      <c r="D5" s="14" t="s">
        <v>13</v>
      </c>
      <c r="E5" s="15" t="s">
        <v>14</v>
      </c>
      <c r="F5" s="16" t="s">
        <v>15</v>
      </c>
      <c r="G5" s="54"/>
      <c r="H5" s="54"/>
    </row>
    <row r="6" spans="1:8" ht="57.75" customHeight="1" x14ac:dyDescent="0.3">
      <c r="A6" s="12" t="s">
        <v>16</v>
      </c>
      <c r="B6" s="13" t="s">
        <v>11</v>
      </c>
      <c r="C6" s="12" t="s">
        <v>12</v>
      </c>
      <c r="D6" s="14" t="s">
        <v>17</v>
      </c>
      <c r="E6" s="15" t="s">
        <v>18</v>
      </c>
      <c r="F6" s="16" t="s">
        <v>19</v>
      </c>
      <c r="G6" s="54"/>
      <c r="H6" s="54"/>
    </row>
    <row r="7" spans="1:8" ht="57.75" customHeight="1" x14ac:dyDescent="0.3">
      <c r="A7" s="17" t="s">
        <v>20</v>
      </c>
      <c r="B7" s="18" t="s">
        <v>21</v>
      </c>
      <c r="C7" s="17" t="s">
        <v>22</v>
      </c>
      <c r="D7" s="14" t="s">
        <v>23</v>
      </c>
      <c r="E7" s="15" t="s">
        <v>24</v>
      </c>
      <c r="F7" s="16" t="s">
        <v>25</v>
      </c>
      <c r="G7" s="54"/>
      <c r="H7" s="54"/>
    </row>
    <row r="8" spans="1:8" ht="57.75" customHeight="1" x14ac:dyDescent="0.3">
      <c r="A8" s="17" t="s">
        <v>26</v>
      </c>
      <c r="B8" s="18" t="s">
        <v>21</v>
      </c>
      <c r="C8" s="17" t="s">
        <v>22</v>
      </c>
      <c r="D8" s="14" t="s">
        <v>27</v>
      </c>
      <c r="E8" s="15" t="s">
        <v>28</v>
      </c>
      <c r="F8" s="16" t="s">
        <v>29</v>
      </c>
      <c r="G8" s="54"/>
      <c r="H8" s="54"/>
    </row>
    <row r="9" spans="1:8" ht="57.75" customHeight="1" x14ac:dyDescent="0.3">
      <c r="A9" s="17" t="s">
        <v>30</v>
      </c>
      <c r="B9" s="18" t="s">
        <v>21</v>
      </c>
      <c r="C9" s="17" t="s">
        <v>22</v>
      </c>
      <c r="D9" s="14" t="s">
        <v>31</v>
      </c>
      <c r="E9" s="15" t="s">
        <v>32</v>
      </c>
      <c r="F9" s="16" t="s">
        <v>33</v>
      </c>
      <c r="G9" s="54"/>
      <c r="H9" s="54"/>
    </row>
    <row r="10" spans="1:8" ht="57.75" customHeight="1" x14ac:dyDescent="0.3">
      <c r="A10" s="17" t="s">
        <v>34</v>
      </c>
      <c r="B10" s="18" t="s">
        <v>21</v>
      </c>
      <c r="C10" s="17" t="s">
        <v>22</v>
      </c>
      <c r="D10" s="14" t="s">
        <v>35</v>
      </c>
      <c r="E10" s="15" t="s">
        <v>36</v>
      </c>
      <c r="F10" s="16" t="s">
        <v>37</v>
      </c>
      <c r="G10" s="54"/>
      <c r="H10" s="54"/>
    </row>
    <row r="11" spans="1:8" ht="57.75" customHeight="1" x14ac:dyDescent="0.3">
      <c r="A11" s="17" t="s">
        <v>38</v>
      </c>
      <c r="B11" s="18" t="s">
        <v>21</v>
      </c>
      <c r="C11" s="17" t="s">
        <v>22</v>
      </c>
      <c r="D11" s="14" t="s">
        <v>39</v>
      </c>
      <c r="E11" s="15" t="s">
        <v>40</v>
      </c>
      <c r="F11" s="16" t="s">
        <v>41</v>
      </c>
      <c r="G11" s="54"/>
      <c r="H11" s="54"/>
    </row>
    <row r="12" spans="1:8" ht="57.75" customHeight="1" x14ac:dyDescent="0.3">
      <c r="A12" s="55" t="s">
        <v>42</v>
      </c>
      <c r="B12" s="18" t="s">
        <v>21</v>
      </c>
      <c r="C12" s="17" t="s">
        <v>22</v>
      </c>
      <c r="D12" s="14" t="s">
        <v>43</v>
      </c>
      <c r="E12" s="15"/>
      <c r="F12" s="16"/>
      <c r="G12" s="54"/>
      <c r="H12" s="54"/>
    </row>
    <row r="13" spans="1:8" ht="57.75" customHeight="1" x14ac:dyDescent="0.3">
      <c r="A13" s="17" t="s">
        <v>44</v>
      </c>
      <c r="B13" s="18" t="s">
        <v>21</v>
      </c>
      <c r="C13" s="17" t="s">
        <v>22</v>
      </c>
      <c r="D13" s="14" t="s">
        <v>45</v>
      </c>
      <c r="E13" s="15" t="s">
        <v>46</v>
      </c>
      <c r="F13" s="16" t="s">
        <v>47</v>
      </c>
      <c r="G13" s="54"/>
      <c r="H13" s="54"/>
    </row>
    <row r="14" spans="1:8" ht="57.75" customHeight="1" x14ac:dyDescent="0.3">
      <c r="A14" s="12" t="s">
        <v>48</v>
      </c>
      <c r="B14" s="13" t="s">
        <v>49</v>
      </c>
      <c r="C14" s="12" t="s">
        <v>50</v>
      </c>
      <c r="D14" s="14" t="s">
        <v>51</v>
      </c>
      <c r="E14" s="15" t="s">
        <v>52</v>
      </c>
      <c r="F14" s="16" t="s">
        <v>53</v>
      </c>
      <c r="G14" s="54"/>
      <c r="H14" s="54"/>
    </row>
    <row r="15" spans="1:8" ht="57.75" customHeight="1" x14ac:dyDescent="0.3">
      <c r="A15" s="12" t="s">
        <v>54</v>
      </c>
      <c r="B15" s="13" t="s">
        <v>49</v>
      </c>
      <c r="C15" s="12" t="s">
        <v>50</v>
      </c>
      <c r="D15" s="14" t="s">
        <v>55</v>
      </c>
      <c r="E15" s="15" t="s">
        <v>56</v>
      </c>
      <c r="F15" s="16" t="s">
        <v>57</v>
      </c>
      <c r="G15" s="54"/>
      <c r="H15" s="54"/>
    </row>
    <row r="16" spans="1:8" ht="57.75" customHeight="1" x14ac:dyDescent="0.3">
      <c r="A16" s="12" t="s">
        <v>58</v>
      </c>
      <c r="B16" s="13" t="s">
        <v>49</v>
      </c>
      <c r="C16" s="12" t="s">
        <v>50</v>
      </c>
      <c r="D16" s="14" t="s">
        <v>59</v>
      </c>
      <c r="E16" s="15" t="s">
        <v>60</v>
      </c>
      <c r="F16" s="16" t="s">
        <v>61</v>
      </c>
      <c r="G16" s="54"/>
      <c r="H16" s="54"/>
    </row>
    <row r="17" spans="1:8" ht="57.75" customHeight="1" x14ac:dyDescent="0.3">
      <c r="A17" s="12" t="s">
        <v>62</v>
      </c>
      <c r="B17" s="13" t="s">
        <v>49</v>
      </c>
      <c r="C17" s="12" t="s">
        <v>50</v>
      </c>
      <c r="D17" s="14" t="s">
        <v>63</v>
      </c>
      <c r="E17" s="15" t="s">
        <v>64</v>
      </c>
      <c r="F17" s="16" t="s">
        <v>65</v>
      </c>
      <c r="G17" s="54"/>
      <c r="H17" s="54"/>
    </row>
    <row r="18" spans="1:8" ht="57.75" customHeight="1" x14ac:dyDescent="0.3">
      <c r="A18" s="12" t="s">
        <v>66</v>
      </c>
      <c r="B18" s="13" t="s">
        <v>49</v>
      </c>
      <c r="C18" s="12" t="s">
        <v>50</v>
      </c>
      <c r="D18" s="14" t="s">
        <v>67</v>
      </c>
      <c r="E18" s="15" t="s">
        <v>68</v>
      </c>
      <c r="F18" s="16" t="s">
        <v>69</v>
      </c>
      <c r="G18" s="54"/>
      <c r="H18" s="54"/>
    </row>
    <row r="19" spans="1:8" ht="57.75" customHeight="1" x14ac:dyDescent="0.3">
      <c r="A19" s="12" t="s">
        <v>70</v>
      </c>
      <c r="B19" s="13" t="s">
        <v>49</v>
      </c>
      <c r="C19" s="12" t="s">
        <v>50</v>
      </c>
      <c r="D19" s="14" t="s">
        <v>71</v>
      </c>
      <c r="E19" s="15" t="s">
        <v>72</v>
      </c>
      <c r="F19" s="16" t="s">
        <v>73</v>
      </c>
      <c r="G19" s="54"/>
      <c r="H19" s="54"/>
    </row>
    <row r="20" spans="1:8" ht="57.75" customHeight="1" x14ac:dyDescent="0.3">
      <c r="A20" s="17" t="s">
        <v>74</v>
      </c>
      <c r="B20" s="18" t="s">
        <v>75</v>
      </c>
      <c r="C20" s="17" t="s">
        <v>76</v>
      </c>
      <c r="D20" s="14" t="s">
        <v>77</v>
      </c>
      <c r="E20" s="15" t="s">
        <v>78</v>
      </c>
      <c r="F20" s="16" t="s">
        <v>79</v>
      </c>
      <c r="G20" s="54"/>
      <c r="H20" s="54"/>
    </row>
    <row r="21" spans="1:8" ht="57.75" customHeight="1" x14ac:dyDescent="0.3">
      <c r="A21" s="17" t="s">
        <v>80</v>
      </c>
      <c r="B21" s="18" t="s">
        <v>75</v>
      </c>
      <c r="C21" s="17" t="s">
        <v>76</v>
      </c>
      <c r="D21" s="14" t="s">
        <v>81</v>
      </c>
      <c r="E21" s="15" t="s">
        <v>82</v>
      </c>
      <c r="F21" s="16" t="s">
        <v>83</v>
      </c>
      <c r="G21" s="54"/>
      <c r="H21" s="54"/>
    </row>
    <row r="22" spans="1:8" ht="57.75" customHeight="1" x14ac:dyDescent="0.3">
      <c r="A22" s="17" t="s">
        <v>84</v>
      </c>
      <c r="B22" s="18" t="s">
        <v>75</v>
      </c>
      <c r="C22" s="17" t="s">
        <v>76</v>
      </c>
      <c r="D22" s="14" t="s">
        <v>85</v>
      </c>
      <c r="E22" s="15" t="s">
        <v>86</v>
      </c>
      <c r="F22" s="16" t="s">
        <v>87</v>
      </c>
      <c r="G22" s="54"/>
      <c r="H22" s="54"/>
    </row>
    <row r="23" spans="1:8" ht="57.75" customHeight="1" x14ac:dyDescent="0.3">
      <c r="A23" s="17" t="s">
        <v>88</v>
      </c>
      <c r="B23" s="18" t="s">
        <v>75</v>
      </c>
      <c r="C23" s="17" t="s">
        <v>76</v>
      </c>
      <c r="D23" s="14" t="s">
        <v>89</v>
      </c>
      <c r="E23" s="15" t="s">
        <v>90</v>
      </c>
      <c r="F23" s="16" t="s">
        <v>91</v>
      </c>
      <c r="G23" s="54"/>
      <c r="H23" s="54"/>
    </row>
    <row r="24" spans="1:8" ht="57.75" customHeight="1" x14ac:dyDescent="0.3">
      <c r="A24" s="17" t="s">
        <v>92</v>
      </c>
      <c r="B24" s="18" t="s">
        <v>75</v>
      </c>
      <c r="C24" s="17" t="s">
        <v>76</v>
      </c>
      <c r="D24" s="14" t="s">
        <v>93</v>
      </c>
      <c r="E24" s="15" t="s">
        <v>94</v>
      </c>
      <c r="F24" s="16" t="s">
        <v>95</v>
      </c>
      <c r="G24" s="54"/>
      <c r="H24" s="54"/>
    </row>
    <row r="25" spans="1:8" ht="57.75" customHeight="1" x14ac:dyDescent="0.3">
      <c r="A25" s="17" t="s">
        <v>96</v>
      </c>
      <c r="B25" s="18" t="s">
        <v>75</v>
      </c>
      <c r="C25" s="17" t="s">
        <v>76</v>
      </c>
      <c r="D25" s="14" t="s">
        <v>97</v>
      </c>
      <c r="E25" s="15" t="s">
        <v>98</v>
      </c>
      <c r="F25" s="16" t="s">
        <v>99</v>
      </c>
      <c r="G25" s="54"/>
      <c r="H25" s="54"/>
    </row>
    <row r="26" spans="1:8" ht="57.75" customHeight="1" x14ac:dyDescent="0.3">
      <c r="A26" s="17" t="s">
        <v>100</v>
      </c>
      <c r="B26" s="18" t="s">
        <v>75</v>
      </c>
      <c r="C26" s="17" t="s">
        <v>76</v>
      </c>
      <c r="D26" s="14" t="s">
        <v>101</v>
      </c>
      <c r="E26" s="15" t="s">
        <v>102</v>
      </c>
      <c r="F26" s="16" t="s">
        <v>103</v>
      </c>
      <c r="G26" s="54"/>
      <c r="H26" s="54"/>
    </row>
    <row r="27" spans="1:8" ht="57.75" customHeight="1" x14ac:dyDescent="0.3">
      <c r="A27" s="17" t="s">
        <v>104</v>
      </c>
      <c r="B27" s="18" t="s">
        <v>75</v>
      </c>
      <c r="C27" s="17" t="s">
        <v>76</v>
      </c>
      <c r="D27" s="14" t="s">
        <v>105</v>
      </c>
      <c r="E27" s="15" t="s">
        <v>106</v>
      </c>
      <c r="F27" s="16" t="s">
        <v>107</v>
      </c>
      <c r="G27" s="54"/>
      <c r="H27" s="54"/>
    </row>
    <row r="28" spans="1:8" ht="57.75" customHeight="1" x14ac:dyDescent="0.3">
      <c r="A28" s="17" t="s">
        <v>108</v>
      </c>
      <c r="B28" s="18" t="s">
        <v>75</v>
      </c>
      <c r="C28" s="17" t="s">
        <v>76</v>
      </c>
      <c r="D28" s="14" t="s">
        <v>109</v>
      </c>
      <c r="E28" s="15" t="s">
        <v>110</v>
      </c>
      <c r="F28" s="16" t="s">
        <v>111</v>
      </c>
      <c r="G28" s="54"/>
      <c r="H28" s="54"/>
    </row>
    <row r="29" spans="1:8" ht="57.75" customHeight="1" x14ac:dyDescent="0.3">
      <c r="A29" s="17" t="s">
        <v>112</v>
      </c>
      <c r="B29" s="18" t="s">
        <v>75</v>
      </c>
      <c r="C29" s="17" t="s">
        <v>76</v>
      </c>
      <c r="D29" s="14" t="s">
        <v>113</v>
      </c>
      <c r="E29" s="15" t="s">
        <v>114</v>
      </c>
      <c r="F29" s="16" t="s">
        <v>115</v>
      </c>
      <c r="G29" s="54"/>
      <c r="H29" s="54"/>
    </row>
    <row r="30" spans="1:8" ht="57.75" customHeight="1" x14ac:dyDescent="0.3">
      <c r="A30" s="17" t="s">
        <v>116</v>
      </c>
      <c r="B30" s="18" t="s">
        <v>75</v>
      </c>
      <c r="C30" s="17" t="s">
        <v>76</v>
      </c>
      <c r="D30" s="14" t="s">
        <v>117</v>
      </c>
      <c r="E30" s="15" t="s">
        <v>118</v>
      </c>
      <c r="F30" s="16" t="s">
        <v>119</v>
      </c>
      <c r="G30" s="54"/>
      <c r="H30" s="54"/>
    </row>
    <row r="31" spans="1:8" ht="57.75" customHeight="1" x14ac:dyDescent="0.3">
      <c r="A31" s="12" t="s">
        <v>120</v>
      </c>
      <c r="B31" s="13" t="s">
        <v>121</v>
      </c>
      <c r="C31" s="12" t="s">
        <v>122</v>
      </c>
      <c r="D31" s="14" t="s">
        <v>123</v>
      </c>
      <c r="E31" s="15" t="s">
        <v>124</v>
      </c>
      <c r="F31" s="16" t="s">
        <v>125</v>
      </c>
      <c r="G31" s="54"/>
      <c r="H31" s="54"/>
    </row>
    <row r="32" spans="1:8" ht="57.75" customHeight="1" x14ac:dyDescent="0.3">
      <c r="A32" s="12" t="s">
        <v>126</v>
      </c>
      <c r="B32" s="13" t="s">
        <v>121</v>
      </c>
      <c r="C32" s="12" t="s">
        <v>122</v>
      </c>
      <c r="D32" s="14" t="s">
        <v>127</v>
      </c>
      <c r="E32" s="15" t="s">
        <v>128</v>
      </c>
      <c r="F32" s="16" t="s">
        <v>129</v>
      </c>
      <c r="G32" s="54"/>
      <c r="H32" s="54"/>
    </row>
    <row r="33" spans="1:8" ht="57.75" customHeight="1" x14ac:dyDescent="0.3">
      <c r="A33" s="12" t="s">
        <v>130</v>
      </c>
      <c r="B33" s="13" t="s">
        <v>121</v>
      </c>
      <c r="C33" s="12" t="s">
        <v>122</v>
      </c>
      <c r="D33" s="14" t="s">
        <v>131</v>
      </c>
      <c r="E33" s="15" t="s">
        <v>132</v>
      </c>
      <c r="F33" s="16" t="s">
        <v>133</v>
      </c>
      <c r="G33" s="54"/>
      <c r="H33" s="54"/>
    </row>
    <row r="34" spans="1:8" ht="57.75" customHeight="1" x14ac:dyDescent="0.3">
      <c r="A34" s="19" t="s">
        <v>134</v>
      </c>
      <c r="B34" s="20" t="s">
        <v>121</v>
      </c>
      <c r="C34" s="19" t="s">
        <v>122</v>
      </c>
      <c r="D34" s="21" t="s">
        <v>135</v>
      </c>
      <c r="E34" s="22" t="s">
        <v>136</v>
      </c>
      <c r="F34" s="23" t="s">
        <v>137</v>
      </c>
      <c r="G34" s="54"/>
      <c r="H34" s="54"/>
    </row>
    <row r="35" spans="1:8" ht="57.75" customHeight="1" x14ac:dyDescent="0.3">
      <c r="A35" s="12" t="s">
        <v>138</v>
      </c>
      <c r="B35" s="13" t="s">
        <v>121</v>
      </c>
      <c r="C35" s="12" t="s">
        <v>122</v>
      </c>
      <c r="D35" s="14" t="s">
        <v>139</v>
      </c>
      <c r="E35" s="15" t="s">
        <v>140</v>
      </c>
      <c r="F35" s="16" t="s">
        <v>141</v>
      </c>
      <c r="G35" s="54"/>
      <c r="H35" s="54"/>
    </row>
    <row r="36" spans="1:8" ht="57.75" customHeight="1" x14ac:dyDescent="0.3">
      <c r="A36" s="12" t="s">
        <v>142</v>
      </c>
      <c r="B36" s="13" t="s">
        <v>121</v>
      </c>
      <c r="C36" s="12" t="s">
        <v>122</v>
      </c>
      <c r="D36" s="14" t="s">
        <v>143</v>
      </c>
      <c r="E36" s="15" t="s">
        <v>144</v>
      </c>
      <c r="F36" s="16" t="s">
        <v>145</v>
      </c>
      <c r="G36" s="54"/>
      <c r="H36" s="54"/>
    </row>
    <row r="37" spans="1:8" ht="57.75" customHeight="1" x14ac:dyDescent="0.3">
      <c r="A37" s="12" t="s">
        <v>146</v>
      </c>
      <c r="B37" s="13" t="s">
        <v>121</v>
      </c>
      <c r="C37" s="12" t="s">
        <v>122</v>
      </c>
      <c r="D37" s="14" t="s">
        <v>147</v>
      </c>
      <c r="E37" s="15" t="s">
        <v>148</v>
      </c>
      <c r="F37" s="16" t="s">
        <v>149</v>
      </c>
      <c r="G37" s="54"/>
      <c r="H37" s="54"/>
    </row>
    <row r="38" spans="1:8" ht="57.75" customHeight="1" x14ac:dyDescent="0.3">
      <c r="A38" s="12" t="s">
        <v>150</v>
      </c>
      <c r="B38" s="13" t="s">
        <v>121</v>
      </c>
      <c r="C38" s="12" t="s">
        <v>122</v>
      </c>
      <c r="D38" s="14" t="s">
        <v>151</v>
      </c>
      <c r="E38" s="15" t="s">
        <v>152</v>
      </c>
      <c r="F38" s="16" t="s">
        <v>153</v>
      </c>
      <c r="G38" s="54"/>
      <c r="H38" s="54"/>
    </row>
    <row r="39" spans="1:8" ht="57.75" customHeight="1" x14ac:dyDescent="0.3">
      <c r="A39" s="17" t="s">
        <v>154</v>
      </c>
      <c r="B39" s="18" t="s">
        <v>155</v>
      </c>
      <c r="C39" s="17" t="s">
        <v>156</v>
      </c>
      <c r="D39" s="14" t="s">
        <v>157</v>
      </c>
      <c r="E39" s="15" t="s">
        <v>158</v>
      </c>
      <c r="F39" s="16" t="s">
        <v>159</v>
      </c>
      <c r="G39" s="54"/>
      <c r="H39" s="54"/>
    </row>
    <row r="40" spans="1:8" ht="57.75" customHeight="1" x14ac:dyDescent="0.3">
      <c r="A40" s="17" t="s">
        <v>160</v>
      </c>
      <c r="B40" s="18" t="s">
        <v>155</v>
      </c>
      <c r="C40" s="17" t="s">
        <v>156</v>
      </c>
      <c r="D40" s="14" t="s">
        <v>161</v>
      </c>
      <c r="E40" s="15" t="s">
        <v>162</v>
      </c>
      <c r="F40" s="16" t="s">
        <v>163</v>
      </c>
      <c r="G40" s="54"/>
      <c r="H40" s="54"/>
    </row>
    <row r="41" spans="1:8" ht="57.75" customHeight="1" x14ac:dyDescent="0.3">
      <c r="A41" s="17" t="s">
        <v>164</v>
      </c>
      <c r="B41" s="18" t="s">
        <v>155</v>
      </c>
      <c r="C41" s="17" t="s">
        <v>156</v>
      </c>
      <c r="D41" s="14" t="s">
        <v>165</v>
      </c>
      <c r="E41" s="15" t="s">
        <v>166</v>
      </c>
      <c r="F41" s="16" t="s">
        <v>167</v>
      </c>
      <c r="G41" s="54"/>
      <c r="H41" s="54"/>
    </row>
    <row r="42" spans="1:8" ht="57.75" customHeight="1" x14ac:dyDescent="0.3">
      <c r="A42" s="17" t="s">
        <v>168</v>
      </c>
      <c r="B42" s="18" t="s">
        <v>155</v>
      </c>
      <c r="C42" s="17" t="s">
        <v>156</v>
      </c>
      <c r="D42" s="14" t="s">
        <v>169</v>
      </c>
      <c r="E42" s="15" t="s">
        <v>170</v>
      </c>
      <c r="F42" s="16" t="s">
        <v>171</v>
      </c>
      <c r="G42" s="54"/>
      <c r="H42" s="54"/>
    </row>
    <row r="43" spans="1:8" ht="57.75" customHeight="1" x14ac:dyDescent="0.3">
      <c r="A43" s="17" t="s">
        <v>172</v>
      </c>
      <c r="B43" s="18" t="s">
        <v>155</v>
      </c>
      <c r="C43" s="17" t="s">
        <v>156</v>
      </c>
      <c r="D43" s="14" t="s">
        <v>173</v>
      </c>
      <c r="E43" s="15" t="s">
        <v>174</v>
      </c>
      <c r="F43" s="16" t="s">
        <v>175</v>
      </c>
      <c r="G43" s="54"/>
      <c r="H43" s="54"/>
    </row>
    <row r="44" spans="1:8" ht="57.75" customHeight="1" x14ac:dyDescent="0.3">
      <c r="A44" s="17" t="s">
        <v>176</v>
      </c>
      <c r="B44" s="18" t="s">
        <v>155</v>
      </c>
      <c r="C44" s="17" t="s">
        <v>156</v>
      </c>
      <c r="D44" s="14" t="s">
        <v>177</v>
      </c>
      <c r="E44" s="15" t="s">
        <v>178</v>
      </c>
      <c r="F44" s="16" t="s">
        <v>179</v>
      </c>
      <c r="G44" s="54"/>
      <c r="H44" s="54"/>
    </row>
    <row r="45" spans="1:8" ht="57.75" customHeight="1" x14ac:dyDescent="0.3">
      <c r="A45" s="17" t="s">
        <v>180</v>
      </c>
      <c r="B45" s="18" t="s">
        <v>155</v>
      </c>
      <c r="C45" s="17" t="s">
        <v>156</v>
      </c>
      <c r="D45" s="14" t="s">
        <v>181</v>
      </c>
      <c r="E45" s="15" t="s">
        <v>182</v>
      </c>
      <c r="F45" s="16" t="s">
        <v>183</v>
      </c>
      <c r="G45" s="54"/>
      <c r="H45" s="54"/>
    </row>
    <row r="46" spans="1:8" ht="57.75" customHeight="1" x14ac:dyDescent="0.3">
      <c r="A46" s="17" t="s">
        <v>184</v>
      </c>
      <c r="B46" s="18" t="s">
        <v>155</v>
      </c>
      <c r="C46" s="17" t="s">
        <v>156</v>
      </c>
      <c r="D46" s="14" t="s">
        <v>185</v>
      </c>
      <c r="E46" s="15" t="s">
        <v>186</v>
      </c>
      <c r="F46" s="16" t="s">
        <v>187</v>
      </c>
      <c r="G46" s="54"/>
      <c r="H46" s="54"/>
    </row>
    <row r="47" spans="1:8" ht="57.75" customHeight="1" x14ac:dyDescent="0.3">
      <c r="A47" s="12" t="s">
        <v>188</v>
      </c>
      <c r="B47" s="13" t="s">
        <v>189</v>
      </c>
      <c r="C47" s="12" t="s">
        <v>190</v>
      </c>
      <c r="D47" s="14" t="s">
        <v>191</v>
      </c>
      <c r="E47" s="15" t="s">
        <v>192</v>
      </c>
      <c r="F47" s="16" t="s">
        <v>193</v>
      </c>
      <c r="G47" s="54"/>
      <c r="H47" s="54"/>
    </row>
    <row r="48" spans="1:8" ht="57.75" customHeight="1" x14ac:dyDescent="0.3">
      <c r="A48" s="12" t="s">
        <v>194</v>
      </c>
      <c r="B48" s="13" t="s">
        <v>189</v>
      </c>
      <c r="C48" s="12" t="s">
        <v>190</v>
      </c>
      <c r="D48" s="14" t="s">
        <v>195</v>
      </c>
      <c r="E48" s="15" t="s">
        <v>196</v>
      </c>
      <c r="F48" s="16" t="s">
        <v>197</v>
      </c>
      <c r="G48" s="54"/>
      <c r="H48" s="54"/>
    </row>
    <row r="49" spans="1:8" ht="57.75" customHeight="1" x14ac:dyDescent="0.3">
      <c r="A49" s="12" t="s">
        <v>198</v>
      </c>
      <c r="B49" s="13" t="s">
        <v>189</v>
      </c>
      <c r="C49" s="12" t="s">
        <v>190</v>
      </c>
      <c r="D49" s="14" t="s">
        <v>199</v>
      </c>
      <c r="E49" s="15" t="s">
        <v>200</v>
      </c>
      <c r="F49" s="16" t="s">
        <v>201</v>
      </c>
      <c r="G49" s="54"/>
      <c r="H49" s="54"/>
    </row>
    <row r="50" spans="1:8" ht="57.75" customHeight="1" x14ac:dyDescent="0.3">
      <c r="A50" s="12" t="s">
        <v>202</v>
      </c>
      <c r="B50" s="13" t="s">
        <v>189</v>
      </c>
      <c r="C50" s="12" t="s">
        <v>190</v>
      </c>
      <c r="D50" s="14" t="s">
        <v>203</v>
      </c>
      <c r="E50" s="15" t="s">
        <v>204</v>
      </c>
      <c r="F50" s="16" t="s">
        <v>205</v>
      </c>
      <c r="G50" s="54"/>
      <c r="H50" s="5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showGridLines="0" zoomScaleNormal="100" workbookViewId="0">
      <pane ySplit="4" topLeftCell="A9" activePane="bottomLeft" state="frozen"/>
      <selection pane="bottomLeft"/>
    </sheetView>
  </sheetViews>
  <sheetFormatPr baseColWidth="10" defaultColWidth="8.6640625" defaultRowHeight="14.4" x14ac:dyDescent="0.3"/>
  <cols>
    <col min="1" max="1" width="5" customWidth="1"/>
    <col min="2" max="2" width="15" customWidth="1"/>
    <col min="3" max="3" width="52" customWidth="1"/>
    <col min="4" max="4" width="46" customWidth="1"/>
    <col min="5" max="5" width="40" customWidth="1"/>
    <col min="6" max="6" width="10" customWidth="1"/>
    <col min="7" max="7" width="52" customWidth="1"/>
    <col min="8" max="8" width="60" customWidth="1"/>
    <col min="9" max="9" width="9" customWidth="1"/>
  </cols>
  <sheetData>
    <row r="1" spans="1:9" ht="21" customHeight="1" x14ac:dyDescent="0.4">
      <c r="A1" s="1" t="s">
        <v>242</v>
      </c>
    </row>
    <row r="2" spans="1:9" x14ac:dyDescent="0.3">
      <c r="A2" s="2" t="s">
        <v>243</v>
      </c>
    </row>
    <row r="4" spans="1:9" ht="33.75" customHeight="1" x14ac:dyDescent="0.3">
      <c r="A4" s="11" t="s">
        <v>244</v>
      </c>
      <c r="B4" s="11" t="s">
        <v>245</v>
      </c>
      <c r="C4" s="11" t="s">
        <v>246</v>
      </c>
      <c r="D4" s="11" t="s">
        <v>247</v>
      </c>
      <c r="E4" s="11" t="s">
        <v>248</v>
      </c>
      <c r="F4" s="11" t="s">
        <v>2</v>
      </c>
      <c r="G4" s="11" t="s">
        <v>249</v>
      </c>
      <c r="H4" s="11" t="s">
        <v>250</v>
      </c>
      <c r="I4" s="11" t="s">
        <v>251</v>
      </c>
    </row>
    <row r="5" spans="1:9" ht="96" customHeight="1" x14ac:dyDescent="0.3">
      <c r="A5" s="24">
        <v>1</v>
      </c>
      <c r="B5" s="25" t="s">
        <v>80</v>
      </c>
      <c r="C5" s="26" t="s">
        <v>252</v>
      </c>
      <c r="D5" s="25" t="s">
        <v>253</v>
      </c>
      <c r="E5" s="25" t="s">
        <v>254</v>
      </c>
      <c r="F5" s="27" t="s">
        <v>255</v>
      </c>
      <c r="G5" s="28" t="s">
        <v>256</v>
      </c>
      <c r="H5" s="25" t="s">
        <v>257</v>
      </c>
      <c r="I5" s="24" t="s">
        <v>258</v>
      </c>
    </row>
    <row r="6" spans="1:9" ht="96" customHeight="1" x14ac:dyDescent="0.3">
      <c r="A6" s="24">
        <v>2</v>
      </c>
      <c r="B6" s="25" t="s">
        <v>134</v>
      </c>
      <c r="C6" s="26" t="s">
        <v>259</v>
      </c>
      <c r="D6" s="25" t="s">
        <v>260</v>
      </c>
      <c r="E6" s="25" t="s">
        <v>261</v>
      </c>
      <c r="F6" s="27" t="s">
        <v>262</v>
      </c>
      <c r="G6" s="28" t="s">
        <v>263</v>
      </c>
      <c r="H6" s="25" t="s">
        <v>264</v>
      </c>
      <c r="I6" s="24" t="s">
        <v>258</v>
      </c>
    </row>
    <row r="7" spans="1:9" ht="96" customHeight="1" x14ac:dyDescent="0.3">
      <c r="A7" s="24">
        <v>3</v>
      </c>
      <c r="B7" s="25" t="s">
        <v>84</v>
      </c>
      <c r="C7" s="26" t="s">
        <v>265</v>
      </c>
      <c r="D7" s="25" t="s">
        <v>266</v>
      </c>
      <c r="E7" s="25" t="s">
        <v>267</v>
      </c>
      <c r="F7" s="27" t="s">
        <v>268</v>
      </c>
      <c r="G7" s="28" t="s">
        <v>269</v>
      </c>
      <c r="H7" s="25" t="s">
        <v>270</v>
      </c>
      <c r="I7" s="24" t="s">
        <v>258</v>
      </c>
    </row>
    <row r="8" spans="1:9" ht="96" customHeight="1" x14ac:dyDescent="0.3">
      <c r="A8" s="24">
        <v>4</v>
      </c>
      <c r="B8" s="25" t="s">
        <v>74</v>
      </c>
      <c r="C8" s="26" t="s">
        <v>271</v>
      </c>
      <c r="D8" s="25" t="s">
        <v>272</v>
      </c>
      <c r="E8" s="25" t="s">
        <v>273</v>
      </c>
      <c r="F8" s="27" t="s">
        <v>274</v>
      </c>
      <c r="G8" s="28" t="s">
        <v>275</v>
      </c>
      <c r="H8" s="25" t="s">
        <v>276</v>
      </c>
      <c r="I8" s="24" t="s">
        <v>258</v>
      </c>
    </row>
    <row r="9" spans="1:9" ht="96" customHeight="1" x14ac:dyDescent="0.3">
      <c r="A9" s="24">
        <v>5</v>
      </c>
      <c r="B9" s="25" t="s">
        <v>88</v>
      </c>
      <c r="C9" s="26" t="s">
        <v>277</v>
      </c>
      <c r="D9" s="25" t="s">
        <v>278</v>
      </c>
      <c r="E9" s="25" t="s">
        <v>279</v>
      </c>
      <c r="F9" s="27" t="s">
        <v>280</v>
      </c>
      <c r="G9" s="28" t="s">
        <v>281</v>
      </c>
      <c r="H9" s="25" t="s">
        <v>282</v>
      </c>
      <c r="I9" s="24" t="s">
        <v>258</v>
      </c>
    </row>
    <row r="10" spans="1:9" ht="96" customHeight="1" x14ac:dyDescent="0.3">
      <c r="A10" s="24">
        <v>6</v>
      </c>
      <c r="B10" s="25" t="s">
        <v>92</v>
      </c>
      <c r="C10" s="26" t="s">
        <v>283</v>
      </c>
      <c r="D10" s="25" t="s">
        <v>284</v>
      </c>
      <c r="E10" s="25" t="s">
        <v>285</v>
      </c>
      <c r="F10" s="27" t="s">
        <v>286</v>
      </c>
      <c r="G10" s="28" t="s">
        <v>287</v>
      </c>
      <c r="H10" s="25" t="s">
        <v>288</v>
      </c>
      <c r="I10" s="24" t="s">
        <v>258</v>
      </c>
    </row>
    <row r="11" spans="1:9" ht="96" customHeight="1" x14ac:dyDescent="0.3">
      <c r="A11" s="24">
        <v>7</v>
      </c>
      <c r="B11" s="25" t="s">
        <v>116</v>
      </c>
      <c r="C11" s="26" t="s">
        <v>289</v>
      </c>
      <c r="D11" s="25" t="s">
        <v>290</v>
      </c>
      <c r="E11" s="25" t="s">
        <v>291</v>
      </c>
      <c r="F11" s="27" t="s">
        <v>292</v>
      </c>
      <c r="G11" s="28" t="s">
        <v>293</v>
      </c>
      <c r="H11" s="25" t="s">
        <v>294</v>
      </c>
      <c r="I11" s="24" t="s">
        <v>258</v>
      </c>
    </row>
    <row r="12" spans="1:9" ht="96" customHeight="1" x14ac:dyDescent="0.3">
      <c r="A12" s="24">
        <v>8</v>
      </c>
      <c r="B12" s="25" t="s">
        <v>104</v>
      </c>
      <c r="C12" s="26" t="s">
        <v>295</v>
      </c>
      <c r="D12" s="25" t="s">
        <v>296</v>
      </c>
      <c r="E12" s="25" t="s">
        <v>297</v>
      </c>
      <c r="F12" s="27" t="s">
        <v>298</v>
      </c>
      <c r="G12" s="28" t="s">
        <v>299</v>
      </c>
      <c r="H12" s="25" t="s">
        <v>300</v>
      </c>
      <c r="I12" s="24" t="s">
        <v>301</v>
      </c>
    </row>
    <row r="13" spans="1:9" ht="96" customHeight="1" x14ac:dyDescent="0.3">
      <c r="A13" s="24">
        <v>9</v>
      </c>
      <c r="B13" s="25" t="s">
        <v>150</v>
      </c>
      <c r="C13" s="26" t="s">
        <v>302</v>
      </c>
      <c r="D13" s="25" t="s">
        <v>303</v>
      </c>
      <c r="E13" s="25" t="s">
        <v>304</v>
      </c>
      <c r="F13" s="27" t="s">
        <v>305</v>
      </c>
      <c r="G13" s="28" t="s">
        <v>306</v>
      </c>
      <c r="H13" s="25" t="s">
        <v>307</v>
      </c>
      <c r="I13" s="24" t="s">
        <v>258</v>
      </c>
    </row>
    <row r="14" spans="1:9" ht="96" customHeight="1" x14ac:dyDescent="0.3">
      <c r="A14" s="24">
        <v>10</v>
      </c>
      <c r="B14" s="25" t="s">
        <v>168</v>
      </c>
      <c r="C14" s="26" t="s">
        <v>308</v>
      </c>
      <c r="D14" s="25" t="s">
        <v>309</v>
      </c>
      <c r="E14" s="25" t="s">
        <v>310</v>
      </c>
      <c r="F14" s="27" t="s">
        <v>311</v>
      </c>
      <c r="G14" s="28" t="s">
        <v>312</v>
      </c>
      <c r="H14" s="25" t="s">
        <v>313</v>
      </c>
      <c r="I14" s="24" t="s">
        <v>258</v>
      </c>
    </row>
    <row r="15" spans="1:9" ht="96" customHeight="1" x14ac:dyDescent="0.3">
      <c r="A15" s="29">
        <v>11</v>
      </c>
      <c r="B15" s="30" t="s">
        <v>184</v>
      </c>
      <c r="C15" s="31" t="s">
        <v>314</v>
      </c>
      <c r="D15" s="30" t="s">
        <v>315</v>
      </c>
      <c r="E15" s="30" t="s">
        <v>316</v>
      </c>
      <c r="F15" s="32" t="s">
        <v>317</v>
      </c>
      <c r="G15" s="33" t="s">
        <v>318</v>
      </c>
      <c r="H15" s="30" t="s">
        <v>319</v>
      </c>
      <c r="I15" s="29" t="s">
        <v>258</v>
      </c>
    </row>
    <row r="17" spans="2:3" ht="15.6" customHeight="1" x14ac:dyDescent="0.3">
      <c r="B17" s="6" t="s">
        <v>320</v>
      </c>
    </row>
    <row r="18" spans="2:3" ht="30" customHeight="1" x14ac:dyDescent="0.3">
      <c r="B18" s="34" t="s">
        <v>321</v>
      </c>
      <c r="C18" s="4" t="s">
        <v>322</v>
      </c>
    </row>
    <row r="19" spans="2:3" ht="30" customHeight="1" x14ac:dyDescent="0.3">
      <c r="B19" s="34" t="s">
        <v>323</v>
      </c>
      <c r="C19" s="4" t="s">
        <v>324</v>
      </c>
    </row>
    <row r="20" spans="2:3" ht="30" customHeight="1" x14ac:dyDescent="0.3">
      <c r="B20" s="34" t="s">
        <v>325</v>
      </c>
      <c r="C20" s="4" t="s">
        <v>326</v>
      </c>
    </row>
    <row r="21" spans="2:3" ht="30" customHeight="1" x14ac:dyDescent="0.3">
      <c r="B21" s="34" t="s">
        <v>327</v>
      </c>
      <c r="C21" s="4" t="s">
        <v>328</v>
      </c>
    </row>
    <row r="22" spans="2:3" ht="30" customHeight="1" x14ac:dyDescent="0.3">
      <c r="B22" s="34" t="s">
        <v>329</v>
      </c>
      <c r="C22" s="4" t="s">
        <v>330</v>
      </c>
    </row>
    <row r="23" spans="2:3" ht="30" customHeight="1" x14ac:dyDescent="0.3">
      <c r="B23" s="34" t="s">
        <v>331</v>
      </c>
      <c r="C23" s="4" t="s">
        <v>332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0"/>
  <sheetViews>
    <sheetView showGridLines="0" tabSelected="1" zoomScaleNormal="100" workbookViewId="0">
      <pane xSplit="3" ySplit="4" topLeftCell="D5" activePane="bottomRight" state="frozen"/>
      <selection pane="topRight" activeCell="D1" sqref="D1"/>
      <selection pane="bottomLeft" activeCell="A5" sqref="A5"/>
      <selection pane="bottomRight" activeCell="G5" sqref="G5"/>
    </sheetView>
  </sheetViews>
  <sheetFormatPr baseColWidth="10" defaultColWidth="8.6640625" defaultRowHeight="14.4" x14ac:dyDescent="0.3"/>
  <cols>
    <col min="1" max="1" width="10" customWidth="1"/>
    <col min="2" max="2" width="20" customWidth="1"/>
    <col min="3" max="3" width="13" customWidth="1"/>
    <col min="4" max="4" width="55" customWidth="1"/>
    <col min="5" max="5" width="16" customWidth="1"/>
    <col min="6" max="6" width="36" customWidth="1"/>
    <col min="7" max="7" width="55" customWidth="1"/>
    <col min="8" max="8" width="22" customWidth="1"/>
    <col min="9" max="9" width="12" customWidth="1"/>
    <col min="10" max="10" width="16" customWidth="1"/>
    <col min="11" max="11" width="12" customWidth="1"/>
    <col min="12" max="12" width="28" customWidth="1"/>
  </cols>
  <sheetData>
    <row r="1" spans="1:12" ht="21" customHeight="1" x14ac:dyDescent="0.4">
      <c r="A1" s="1" t="s">
        <v>333</v>
      </c>
    </row>
    <row r="2" spans="1:12" x14ac:dyDescent="0.3">
      <c r="A2" s="2" t="s">
        <v>334</v>
      </c>
    </row>
    <row r="4" spans="1:12" ht="33.75" customHeight="1" x14ac:dyDescent="0.3">
      <c r="A4" s="11" t="s">
        <v>2</v>
      </c>
      <c r="B4" s="11" t="s">
        <v>335</v>
      </c>
      <c r="C4" s="11" t="s">
        <v>336</v>
      </c>
      <c r="D4" s="11" t="s">
        <v>249</v>
      </c>
      <c r="E4" s="11" t="s">
        <v>337</v>
      </c>
      <c r="F4" s="11" t="s">
        <v>338</v>
      </c>
      <c r="G4" s="11" t="s">
        <v>339</v>
      </c>
      <c r="H4" s="11" t="s">
        <v>340</v>
      </c>
      <c r="I4" s="11" t="s">
        <v>341</v>
      </c>
      <c r="J4" s="11" t="s">
        <v>342</v>
      </c>
      <c r="K4" s="11" t="s">
        <v>343</v>
      </c>
      <c r="L4" s="11" t="s">
        <v>344</v>
      </c>
    </row>
    <row r="5" spans="1:12" ht="72" customHeight="1" x14ac:dyDescent="0.3">
      <c r="A5" s="35" t="s">
        <v>255</v>
      </c>
      <c r="B5" s="25" t="s">
        <v>345</v>
      </c>
      <c r="C5" s="36" t="s">
        <v>346</v>
      </c>
      <c r="D5" s="28" t="s">
        <v>256</v>
      </c>
      <c r="E5" s="25" t="s">
        <v>347</v>
      </c>
      <c r="F5" s="25" t="s">
        <v>348</v>
      </c>
      <c r="G5" s="25" t="s">
        <v>349</v>
      </c>
      <c r="H5" s="25" t="s">
        <v>350</v>
      </c>
      <c r="I5" s="36" t="s">
        <v>258</v>
      </c>
      <c r="J5" s="36" t="s">
        <v>351</v>
      </c>
      <c r="K5" s="36"/>
      <c r="L5" s="25" t="s">
        <v>352</v>
      </c>
    </row>
    <row r="6" spans="1:12" ht="72" customHeight="1" x14ac:dyDescent="0.3">
      <c r="A6" s="35" t="s">
        <v>262</v>
      </c>
      <c r="B6" s="25" t="s">
        <v>345</v>
      </c>
      <c r="C6" s="36" t="s">
        <v>346</v>
      </c>
      <c r="D6" s="28" t="s">
        <v>353</v>
      </c>
      <c r="E6" s="25" t="s">
        <v>347</v>
      </c>
      <c r="F6" s="25" t="s">
        <v>354</v>
      </c>
      <c r="G6" s="25" t="s">
        <v>355</v>
      </c>
      <c r="H6" s="25" t="s">
        <v>356</v>
      </c>
      <c r="I6" s="36" t="s">
        <v>258</v>
      </c>
      <c r="J6" s="36" t="s">
        <v>351</v>
      </c>
      <c r="K6" s="36" t="s">
        <v>255</v>
      </c>
      <c r="L6" s="25" t="s">
        <v>357</v>
      </c>
    </row>
    <row r="7" spans="1:12" ht="72" customHeight="1" x14ac:dyDescent="0.3">
      <c r="A7" s="35" t="s">
        <v>268</v>
      </c>
      <c r="B7" s="25" t="s">
        <v>358</v>
      </c>
      <c r="C7" s="36" t="s">
        <v>346</v>
      </c>
      <c r="D7" s="28" t="s">
        <v>359</v>
      </c>
      <c r="E7" s="25" t="s">
        <v>360</v>
      </c>
      <c r="F7" s="25" t="s">
        <v>361</v>
      </c>
      <c r="G7" s="25" t="s">
        <v>362</v>
      </c>
      <c r="H7" s="25" t="s">
        <v>363</v>
      </c>
      <c r="I7" s="36" t="s">
        <v>258</v>
      </c>
      <c r="J7" s="36" t="s">
        <v>351</v>
      </c>
      <c r="K7" s="36"/>
      <c r="L7" s="25" t="s">
        <v>364</v>
      </c>
    </row>
    <row r="8" spans="1:12" ht="72" customHeight="1" x14ac:dyDescent="0.3">
      <c r="A8" s="35" t="s">
        <v>274</v>
      </c>
      <c r="B8" s="25" t="s">
        <v>365</v>
      </c>
      <c r="C8" s="36" t="s">
        <v>346</v>
      </c>
      <c r="D8" s="28" t="s">
        <v>366</v>
      </c>
      <c r="E8" s="25" t="s">
        <v>360</v>
      </c>
      <c r="F8" s="25" t="s">
        <v>367</v>
      </c>
      <c r="G8" s="25" t="s">
        <v>368</v>
      </c>
      <c r="H8" s="25" t="s">
        <v>369</v>
      </c>
      <c r="I8" s="36" t="s">
        <v>258</v>
      </c>
      <c r="J8" s="36" t="s">
        <v>351</v>
      </c>
      <c r="K8" s="36" t="s">
        <v>370</v>
      </c>
      <c r="L8" s="25" t="s">
        <v>371</v>
      </c>
    </row>
    <row r="9" spans="1:12" ht="72" customHeight="1" x14ac:dyDescent="0.3">
      <c r="A9" s="35" t="s">
        <v>280</v>
      </c>
      <c r="B9" s="25" t="s">
        <v>365</v>
      </c>
      <c r="C9" s="36" t="s">
        <v>346</v>
      </c>
      <c r="D9" s="28" t="s">
        <v>281</v>
      </c>
      <c r="E9" s="25" t="s">
        <v>360</v>
      </c>
      <c r="F9" s="25" t="s">
        <v>372</v>
      </c>
      <c r="G9" s="25" t="s">
        <v>373</v>
      </c>
      <c r="H9" s="25" t="s">
        <v>374</v>
      </c>
      <c r="I9" s="36" t="s">
        <v>258</v>
      </c>
      <c r="J9" s="36" t="s">
        <v>351</v>
      </c>
      <c r="K9" s="36" t="s">
        <v>274</v>
      </c>
      <c r="L9" s="25"/>
    </row>
    <row r="10" spans="1:12" ht="72" customHeight="1" x14ac:dyDescent="0.3">
      <c r="A10" s="35" t="s">
        <v>286</v>
      </c>
      <c r="B10" s="25" t="s">
        <v>365</v>
      </c>
      <c r="C10" s="36" t="s">
        <v>346</v>
      </c>
      <c r="D10" s="28" t="s">
        <v>375</v>
      </c>
      <c r="E10" s="25" t="s">
        <v>376</v>
      </c>
      <c r="F10" s="25" t="s">
        <v>377</v>
      </c>
      <c r="G10" s="25" t="s">
        <v>378</v>
      </c>
      <c r="H10" s="25" t="s">
        <v>379</v>
      </c>
      <c r="I10" s="36" t="s">
        <v>258</v>
      </c>
      <c r="J10" s="36" t="s">
        <v>351</v>
      </c>
      <c r="K10" s="36" t="s">
        <v>274</v>
      </c>
      <c r="L10" s="25" t="s">
        <v>380</v>
      </c>
    </row>
    <row r="11" spans="1:12" ht="72" customHeight="1" x14ac:dyDescent="0.3">
      <c r="A11" s="35" t="s">
        <v>292</v>
      </c>
      <c r="B11" s="25" t="s">
        <v>376</v>
      </c>
      <c r="C11" s="36" t="s">
        <v>346</v>
      </c>
      <c r="D11" s="28" t="s">
        <v>381</v>
      </c>
      <c r="E11" s="25" t="s">
        <v>376</v>
      </c>
      <c r="F11" s="25" t="s">
        <v>382</v>
      </c>
      <c r="G11" s="25" t="s">
        <v>383</v>
      </c>
      <c r="H11" s="25" t="s">
        <v>384</v>
      </c>
      <c r="I11" s="36" t="s">
        <v>258</v>
      </c>
      <c r="J11" s="36" t="s">
        <v>351</v>
      </c>
      <c r="K11" s="36" t="s">
        <v>286</v>
      </c>
      <c r="L11" s="25" t="s">
        <v>385</v>
      </c>
    </row>
    <row r="12" spans="1:12" ht="72" customHeight="1" x14ac:dyDescent="0.3">
      <c r="A12" s="35" t="s">
        <v>298</v>
      </c>
      <c r="B12" s="25" t="s">
        <v>386</v>
      </c>
      <c r="C12" s="36" t="s">
        <v>346</v>
      </c>
      <c r="D12" s="28" t="s">
        <v>387</v>
      </c>
      <c r="E12" s="25" t="s">
        <v>360</v>
      </c>
      <c r="F12" s="25" t="s">
        <v>388</v>
      </c>
      <c r="G12" s="25" t="s">
        <v>389</v>
      </c>
      <c r="H12" s="25" t="s">
        <v>390</v>
      </c>
      <c r="I12" s="36" t="s">
        <v>301</v>
      </c>
      <c r="J12" s="36" t="s">
        <v>391</v>
      </c>
      <c r="K12" s="36" t="s">
        <v>274</v>
      </c>
      <c r="L12" s="25" t="s">
        <v>392</v>
      </c>
    </row>
    <row r="13" spans="1:12" ht="72" customHeight="1" x14ac:dyDescent="0.3">
      <c r="A13" s="35" t="s">
        <v>305</v>
      </c>
      <c r="B13" s="25" t="s">
        <v>393</v>
      </c>
      <c r="C13" s="36" t="s">
        <v>346</v>
      </c>
      <c r="D13" s="28" t="s">
        <v>394</v>
      </c>
      <c r="E13" s="25" t="s">
        <v>395</v>
      </c>
      <c r="F13" s="25" t="s">
        <v>396</v>
      </c>
      <c r="G13" s="25" t="s">
        <v>397</v>
      </c>
      <c r="H13" s="25" t="s">
        <v>398</v>
      </c>
      <c r="I13" s="36" t="s">
        <v>258</v>
      </c>
      <c r="J13" s="36" t="s">
        <v>351</v>
      </c>
      <c r="K13" s="36" t="s">
        <v>255</v>
      </c>
      <c r="L13" s="25" t="s">
        <v>399</v>
      </c>
    </row>
    <row r="14" spans="1:12" ht="72" customHeight="1" x14ac:dyDescent="0.3">
      <c r="A14" s="35" t="s">
        <v>311</v>
      </c>
      <c r="B14" s="25" t="s">
        <v>400</v>
      </c>
      <c r="C14" s="36" t="s">
        <v>346</v>
      </c>
      <c r="D14" s="28" t="s">
        <v>401</v>
      </c>
      <c r="E14" s="25" t="s">
        <v>395</v>
      </c>
      <c r="F14" s="25" t="s">
        <v>402</v>
      </c>
      <c r="G14" s="25" t="s">
        <v>403</v>
      </c>
      <c r="H14" s="25" t="s">
        <v>404</v>
      </c>
      <c r="I14" s="36" t="s">
        <v>258</v>
      </c>
      <c r="J14" s="36" t="s">
        <v>351</v>
      </c>
      <c r="K14" s="36"/>
      <c r="L14" s="25" t="s">
        <v>405</v>
      </c>
    </row>
    <row r="15" spans="1:12" ht="72" customHeight="1" x14ac:dyDescent="0.3">
      <c r="A15" s="35" t="s">
        <v>317</v>
      </c>
      <c r="B15" s="25" t="s">
        <v>406</v>
      </c>
      <c r="C15" s="36" t="s">
        <v>407</v>
      </c>
      <c r="D15" s="28" t="s">
        <v>408</v>
      </c>
      <c r="E15" s="25" t="s">
        <v>409</v>
      </c>
      <c r="F15" s="25" t="s">
        <v>410</v>
      </c>
      <c r="G15" s="25" t="s">
        <v>411</v>
      </c>
      <c r="H15" s="25" t="s">
        <v>412</v>
      </c>
      <c r="I15" s="36" t="s">
        <v>258</v>
      </c>
      <c r="J15" s="36" t="s">
        <v>351</v>
      </c>
      <c r="K15" s="36"/>
      <c r="L15" s="25" t="s">
        <v>413</v>
      </c>
    </row>
    <row r="16" spans="1:12" ht="30" customHeight="1" x14ac:dyDescent="0.3">
      <c r="A16" s="37"/>
      <c r="B16" s="37"/>
      <c r="C16" s="37"/>
      <c r="D16" s="37"/>
      <c r="E16" s="37"/>
      <c r="F16" s="37"/>
      <c r="G16" s="37"/>
      <c r="H16" s="37"/>
      <c r="I16" s="37"/>
      <c r="J16" s="37"/>
      <c r="K16" s="37"/>
      <c r="L16" s="37"/>
    </row>
    <row r="17" spans="1:12" ht="30" customHeight="1" x14ac:dyDescent="0.3">
      <c r="A17" s="37"/>
      <c r="B17" s="37"/>
      <c r="C17" s="37"/>
      <c r="D17" s="37"/>
      <c r="E17" s="37"/>
      <c r="F17" s="37"/>
      <c r="G17" s="37"/>
      <c r="H17" s="37"/>
      <c r="I17" s="37"/>
      <c r="J17" s="37"/>
      <c r="K17" s="37"/>
      <c r="L17" s="37"/>
    </row>
    <row r="18" spans="1:12" ht="30" customHeight="1" x14ac:dyDescent="0.3">
      <c r="A18" s="37"/>
      <c r="B18" s="37"/>
      <c r="C18" s="37"/>
      <c r="D18" s="37"/>
      <c r="E18" s="37"/>
      <c r="F18" s="37"/>
      <c r="G18" s="37"/>
      <c r="H18" s="37"/>
      <c r="I18" s="37"/>
      <c r="J18" s="37"/>
      <c r="K18" s="37"/>
      <c r="L18" s="37"/>
    </row>
    <row r="19" spans="1:12" ht="30" customHeight="1" x14ac:dyDescent="0.3">
      <c r="A19" s="37"/>
      <c r="B19" s="37"/>
      <c r="C19" s="37"/>
      <c r="D19" s="37"/>
      <c r="E19" s="37"/>
      <c r="F19" s="37"/>
      <c r="G19" s="37"/>
      <c r="H19" s="37"/>
      <c r="I19" s="37"/>
      <c r="J19" s="37"/>
      <c r="K19" s="37"/>
      <c r="L19" s="37"/>
    </row>
    <row r="20" spans="1:12" ht="30" customHeight="1" x14ac:dyDescent="0.3">
      <c r="A20" s="37"/>
      <c r="B20" s="37"/>
      <c r="C20" s="37"/>
      <c r="D20" s="37"/>
      <c r="E20" s="37"/>
      <c r="F20" s="37"/>
      <c r="G20" s="37"/>
      <c r="H20" s="37"/>
      <c r="I20" s="37"/>
      <c r="J20" s="37"/>
      <c r="K20" s="37"/>
      <c r="L20" s="37"/>
    </row>
    <row r="21" spans="1:12" ht="30" customHeight="1" x14ac:dyDescent="0.3">
      <c r="A21" s="37"/>
      <c r="B21" s="37"/>
      <c r="C21" s="37"/>
      <c r="D21" s="37"/>
      <c r="E21" s="37"/>
      <c r="F21" s="37"/>
      <c r="G21" s="37"/>
      <c r="H21" s="37"/>
      <c r="I21" s="37"/>
      <c r="J21" s="37"/>
      <c r="K21" s="37"/>
      <c r="L21" s="37"/>
    </row>
    <row r="22" spans="1:12" ht="30" customHeight="1" x14ac:dyDescent="0.3">
      <c r="A22" s="37"/>
      <c r="B22" s="37"/>
      <c r="C22" s="37"/>
      <c r="D22" s="37"/>
      <c r="E22" s="37"/>
      <c r="F22" s="37"/>
      <c r="G22" s="37"/>
      <c r="H22" s="37"/>
      <c r="I22" s="37"/>
      <c r="J22" s="37"/>
      <c r="K22" s="37"/>
      <c r="L22" s="37"/>
    </row>
    <row r="23" spans="1:12" ht="30" customHeight="1" x14ac:dyDescent="0.3">
      <c r="A23" s="37"/>
      <c r="B23" s="37"/>
      <c r="C23" s="37"/>
      <c r="D23" s="37"/>
      <c r="E23" s="37"/>
      <c r="F23" s="37"/>
      <c r="G23" s="37"/>
      <c r="H23" s="37"/>
      <c r="I23" s="37"/>
      <c r="J23" s="37"/>
      <c r="K23" s="37"/>
      <c r="L23" s="37"/>
    </row>
    <row r="24" spans="1:12" ht="30" customHeight="1" x14ac:dyDescent="0.3">
      <c r="A24" s="37"/>
      <c r="B24" s="37"/>
      <c r="C24" s="37"/>
      <c r="D24" s="37"/>
      <c r="E24" s="37"/>
      <c r="F24" s="37"/>
      <c r="G24" s="37"/>
      <c r="H24" s="37"/>
      <c r="I24" s="37"/>
      <c r="J24" s="37"/>
      <c r="K24" s="37"/>
      <c r="L24" s="37"/>
    </row>
    <row r="25" spans="1:12" ht="30" customHeight="1" x14ac:dyDescent="0.3">
      <c r="A25" s="37"/>
      <c r="B25" s="37"/>
      <c r="C25" s="37"/>
      <c r="D25" s="37"/>
      <c r="E25" s="37"/>
      <c r="F25" s="37"/>
      <c r="G25" s="37"/>
      <c r="H25" s="37"/>
      <c r="I25" s="37"/>
      <c r="J25" s="37"/>
      <c r="K25" s="37"/>
      <c r="L25" s="37"/>
    </row>
    <row r="26" spans="1:12" ht="30" customHeight="1" x14ac:dyDescent="0.3">
      <c r="A26" s="37"/>
      <c r="B26" s="37"/>
      <c r="C26" s="37"/>
      <c r="D26" s="37"/>
      <c r="E26" s="37"/>
      <c r="F26" s="37"/>
      <c r="G26" s="37"/>
      <c r="H26" s="37"/>
      <c r="I26" s="37"/>
      <c r="J26" s="37"/>
      <c r="K26" s="37"/>
      <c r="L26" s="37"/>
    </row>
    <row r="27" spans="1:12" ht="30" customHeight="1" x14ac:dyDescent="0.3">
      <c r="A27" s="37"/>
      <c r="B27" s="37"/>
      <c r="C27" s="37"/>
      <c r="D27" s="37"/>
      <c r="E27" s="37"/>
      <c r="F27" s="37"/>
      <c r="G27" s="37"/>
      <c r="H27" s="37"/>
      <c r="I27" s="37"/>
      <c r="J27" s="37"/>
      <c r="K27" s="37"/>
      <c r="L27" s="37"/>
    </row>
    <row r="28" spans="1:12" ht="30" customHeight="1" x14ac:dyDescent="0.3">
      <c r="A28" s="37"/>
      <c r="B28" s="37"/>
      <c r="C28" s="37"/>
      <c r="D28" s="37"/>
      <c r="E28" s="37"/>
      <c r="F28" s="37"/>
      <c r="G28" s="37"/>
      <c r="H28" s="37"/>
      <c r="I28" s="37"/>
      <c r="J28" s="37"/>
      <c r="K28" s="37"/>
      <c r="L28" s="37"/>
    </row>
    <row r="29" spans="1:12" ht="30" customHeight="1" x14ac:dyDescent="0.3">
      <c r="A29" s="37"/>
      <c r="B29" s="37"/>
      <c r="C29" s="37"/>
      <c r="D29" s="37"/>
      <c r="E29" s="37"/>
      <c r="F29" s="37"/>
      <c r="G29" s="37"/>
      <c r="H29" s="37"/>
      <c r="I29" s="37"/>
      <c r="J29" s="37"/>
      <c r="K29" s="37"/>
      <c r="L29" s="37"/>
    </row>
    <row r="30" spans="1:12" ht="30" customHeight="1" x14ac:dyDescent="0.3">
      <c r="A30" s="37"/>
      <c r="B30" s="37"/>
      <c r="C30" s="37"/>
      <c r="D30" s="37"/>
      <c r="E30" s="37"/>
      <c r="F30" s="37"/>
      <c r="G30" s="37"/>
      <c r="H30" s="37"/>
      <c r="I30" s="37"/>
      <c r="J30" s="37"/>
      <c r="K30" s="37"/>
      <c r="L30" s="37"/>
    </row>
    <row r="31" spans="1:12" ht="30" customHeight="1" x14ac:dyDescent="0.3">
      <c r="A31" s="37"/>
      <c r="B31" s="37"/>
      <c r="C31" s="37"/>
      <c r="D31" s="37"/>
      <c r="E31" s="37"/>
      <c r="F31" s="37"/>
      <c r="G31" s="37"/>
      <c r="H31" s="37"/>
      <c r="I31" s="37"/>
      <c r="J31" s="37"/>
      <c r="K31" s="37"/>
      <c r="L31" s="37"/>
    </row>
    <row r="32" spans="1:12" ht="30" customHeight="1" x14ac:dyDescent="0.3">
      <c r="A32" s="37"/>
      <c r="B32" s="37"/>
      <c r="C32" s="37"/>
      <c r="D32" s="37"/>
      <c r="E32" s="37"/>
      <c r="F32" s="37"/>
      <c r="G32" s="37"/>
      <c r="H32" s="37"/>
      <c r="I32" s="37"/>
      <c r="J32" s="37"/>
      <c r="K32" s="37"/>
      <c r="L32" s="37"/>
    </row>
    <row r="33" spans="1:12" ht="30" customHeight="1" x14ac:dyDescent="0.3">
      <c r="A33" s="37"/>
      <c r="B33" s="37"/>
      <c r="C33" s="37"/>
      <c r="D33" s="37"/>
      <c r="E33" s="37"/>
      <c r="F33" s="37"/>
      <c r="G33" s="37"/>
      <c r="H33" s="37"/>
      <c r="I33" s="37"/>
      <c r="J33" s="37"/>
      <c r="K33" s="37"/>
      <c r="L33" s="37"/>
    </row>
    <row r="34" spans="1:12" ht="30" customHeight="1" x14ac:dyDescent="0.3">
      <c r="A34" s="37"/>
      <c r="B34" s="37"/>
      <c r="C34" s="37"/>
      <c r="D34" s="37"/>
      <c r="E34" s="37"/>
      <c r="F34" s="37"/>
      <c r="G34" s="37"/>
      <c r="H34" s="37"/>
      <c r="I34" s="37"/>
      <c r="J34" s="37"/>
      <c r="K34" s="37"/>
      <c r="L34" s="37"/>
    </row>
    <row r="35" spans="1:12" ht="30" customHeight="1" x14ac:dyDescent="0.3">
      <c r="A35" s="37"/>
      <c r="B35" s="37"/>
      <c r="C35" s="37"/>
      <c r="D35" s="37"/>
      <c r="E35" s="37"/>
      <c r="F35" s="37"/>
      <c r="G35" s="37"/>
      <c r="H35" s="37"/>
      <c r="I35" s="37"/>
      <c r="J35" s="37"/>
      <c r="K35" s="37"/>
      <c r="L35" s="37"/>
    </row>
    <row r="36" spans="1:12" ht="30" customHeight="1" x14ac:dyDescent="0.3">
      <c r="A36" s="37"/>
      <c r="B36" s="37"/>
      <c r="C36" s="37"/>
      <c r="D36" s="37"/>
      <c r="E36" s="37"/>
      <c r="F36" s="37"/>
      <c r="G36" s="37"/>
      <c r="H36" s="37"/>
      <c r="I36" s="37"/>
      <c r="J36" s="37"/>
      <c r="K36" s="37"/>
      <c r="L36" s="37"/>
    </row>
    <row r="37" spans="1:12" ht="30" customHeight="1" x14ac:dyDescent="0.3">
      <c r="A37" s="37"/>
      <c r="B37" s="37"/>
      <c r="C37" s="37"/>
      <c r="D37" s="37"/>
      <c r="E37" s="37"/>
      <c r="F37" s="37"/>
      <c r="G37" s="37"/>
      <c r="H37" s="37"/>
      <c r="I37" s="37"/>
      <c r="J37" s="37"/>
      <c r="K37" s="37"/>
      <c r="L37" s="37"/>
    </row>
    <row r="38" spans="1:12" ht="30" customHeight="1" x14ac:dyDescent="0.3">
      <c r="A38" s="37"/>
      <c r="B38" s="37"/>
      <c r="C38" s="37"/>
      <c r="D38" s="37"/>
      <c r="E38" s="37"/>
      <c r="F38" s="37"/>
      <c r="G38" s="37"/>
      <c r="H38" s="37"/>
      <c r="I38" s="37"/>
      <c r="J38" s="37"/>
      <c r="K38" s="37"/>
      <c r="L38" s="37"/>
    </row>
    <row r="39" spans="1:12" ht="30" customHeight="1" x14ac:dyDescent="0.3">
      <c r="A39" s="37"/>
      <c r="B39" s="37"/>
      <c r="C39" s="37"/>
      <c r="D39" s="37"/>
      <c r="E39" s="37"/>
      <c r="F39" s="37"/>
      <c r="G39" s="37"/>
      <c r="H39" s="37"/>
      <c r="I39" s="37"/>
      <c r="J39" s="37"/>
      <c r="K39" s="37"/>
      <c r="L39" s="37"/>
    </row>
    <row r="40" spans="1:12" ht="30" customHeight="1" x14ac:dyDescent="0.3">
      <c r="A40" s="37"/>
      <c r="B40" s="37"/>
      <c r="C40" s="37"/>
      <c r="D40" s="37"/>
      <c r="E40" s="37"/>
      <c r="F40" s="37"/>
      <c r="G40" s="37"/>
      <c r="H40" s="37"/>
      <c r="I40" s="37"/>
      <c r="J40" s="37"/>
      <c r="K40" s="37"/>
      <c r="L40" s="37"/>
    </row>
    <row r="41" spans="1:12" ht="30" customHeight="1" x14ac:dyDescent="0.3">
      <c r="A41" s="37"/>
      <c r="B41" s="37"/>
      <c r="C41" s="37"/>
      <c r="D41" s="37"/>
      <c r="E41" s="37"/>
      <c r="F41" s="37"/>
      <c r="G41" s="37"/>
      <c r="H41" s="37"/>
      <c r="I41" s="37"/>
      <c r="J41" s="37"/>
      <c r="K41" s="37"/>
      <c r="L41" s="37"/>
    </row>
    <row r="42" spans="1:12" ht="30" customHeight="1" x14ac:dyDescent="0.3">
      <c r="A42" s="37"/>
      <c r="B42" s="37"/>
      <c r="C42" s="37"/>
      <c r="D42" s="37"/>
      <c r="E42" s="37"/>
      <c r="F42" s="37"/>
      <c r="G42" s="37"/>
      <c r="H42" s="37"/>
      <c r="I42" s="37"/>
      <c r="J42" s="37"/>
      <c r="K42" s="37"/>
      <c r="L42" s="37"/>
    </row>
    <row r="43" spans="1:12" ht="30" customHeight="1" x14ac:dyDescent="0.3">
      <c r="A43" s="37"/>
      <c r="B43" s="37"/>
      <c r="C43" s="37"/>
      <c r="D43" s="37"/>
      <c r="E43" s="37"/>
      <c r="F43" s="37"/>
      <c r="G43" s="37"/>
      <c r="H43" s="37"/>
      <c r="I43" s="37"/>
      <c r="J43" s="37"/>
      <c r="K43" s="37"/>
      <c r="L43" s="37"/>
    </row>
    <row r="44" spans="1:12" ht="30" customHeight="1" x14ac:dyDescent="0.3">
      <c r="A44" s="37"/>
      <c r="B44" s="37"/>
      <c r="C44" s="37"/>
      <c r="D44" s="37"/>
      <c r="E44" s="37"/>
      <c r="F44" s="37"/>
      <c r="G44" s="37"/>
      <c r="H44" s="37"/>
      <c r="I44" s="37"/>
      <c r="J44" s="37"/>
      <c r="K44" s="37"/>
      <c r="L44" s="37"/>
    </row>
    <row r="45" spans="1:12" ht="30" customHeight="1" x14ac:dyDescent="0.3">
      <c r="A45" s="37"/>
      <c r="B45" s="37"/>
      <c r="C45" s="37"/>
      <c r="D45" s="37"/>
      <c r="E45" s="37"/>
      <c r="F45" s="37"/>
      <c r="G45" s="37"/>
      <c r="H45" s="37"/>
      <c r="I45" s="37"/>
      <c r="J45" s="37"/>
      <c r="K45" s="37"/>
      <c r="L45" s="37"/>
    </row>
    <row r="46" spans="1:12" ht="30" customHeight="1" x14ac:dyDescent="0.3">
      <c r="A46" s="37"/>
      <c r="B46" s="37"/>
      <c r="C46" s="37"/>
      <c r="D46" s="37"/>
      <c r="E46" s="37"/>
      <c r="F46" s="37"/>
      <c r="G46" s="37"/>
      <c r="H46" s="37"/>
      <c r="I46" s="37"/>
      <c r="J46" s="37"/>
      <c r="K46" s="37"/>
      <c r="L46" s="37"/>
    </row>
    <row r="47" spans="1:12" ht="30" customHeight="1" x14ac:dyDescent="0.3">
      <c r="A47" s="37"/>
      <c r="B47" s="37"/>
      <c r="C47" s="37"/>
      <c r="D47" s="37"/>
      <c r="E47" s="37"/>
      <c r="F47" s="37"/>
      <c r="G47" s="37"/>
      <c r="H47" s="37"/>
      <c r="I47" s="37"/>
      <c r="J47" s="37"/>
      <c r="K47" s="37"/>
      <c r="L47" s="37"/>
    </row>
    <row r="48" spans="1:12" ht="30" customHeight="1" x14ac:dyDescent="0.3">
      <c r="A48" s="37"/>
      <c r="B48" s="37"/>
      <c r="C48" s="37"/>
      <c r="D48" s="37"/>
      <c r="E48" s="37"/>
      <c r="F48" s="37"/>
      <c r="G48" s="37"/>
      <c r="H48" s="37"/>
      <c r="I48" s="37"/>
      <c r="J48" s="37"/>
      <c r="K48" s="37"/>
      <c r="L48" s="37"/>
    </row>
    <row r="49" spans="1:12" ht="30" customHeight="1" x14ac:dyDescent="0.3">
      <c r="A49" s="37"/>
      <c r="B49" s="37"/>
      <c r="C49" s="37"/>
      <c r="D49" s="37"/>
      <c r="E49" s="37"/>
      <c r="F49" s="37"/>
      <c r="G49" s="37"/>
      <c r="H49" s="37"/>
      <c r="I49" s="37"/>
      <c r="J49" s="37"/>
      <c r="K49" s="37"/>
      <c r="L49" s="37"/>
    </row>
    <row r="50" spans="1:12" ht="30" customHeight="1" x14ac:dyDescent="0.3">
      <c r="A50" s="37"/>
      <c r="B50" s="37"/>
      <c r="C50" s="37"/>
      <c r="D50" s="37"/>
      <c r="E50" s="37"/>
      <c r="F50" s="37"/>
      <c r="G50" s="37"/>
      <c r="H50" s="37"/>
      <c r="I50" s="37"/>
      <c r="J50" s="37"/>
      <c r="K50" s="37"/>
      <c r="L50" s="37"/>
    </row>
    <row r="51" spans="1:12" ht="30" customHeight="1" x14ac:dyDescent="0.3">
      <c r="A51" s="37"/>
      <c r="B51" s="37"/>
      <c r="C51" s="37"/>
      <c r="D51" s="37"/>
      <c r="E51" s="37"/>
      <c r="F51" s="37"/>
      <c r="G51" s="37"/>
      <c r="H51" s="37"/>
      <c r="I51" s="37"/>
      <c r="J51" s="37"/>
      <c r="K51" s="37"/>
      <c r="L51" s="37"/>
    </row>
    <row r="52" spans="1:12" ht="30" customHeight="1" x14ac:dyDescent="0.3">
      <c r="A52" s="37"/>
      <c r="B52" s="37"/>
      <c r="C52" s="37"/>
      <c r="D52" s="37"/>
      <c r="E52" s="37"/>
      <c r="F52" s="37"/>
      <c r="G52" s="37"/>
      <c r="H52" s="37"/>
      <c r="I52" s="37"/>
      <c r="J52" s="37"/>
      <c r="K52" s="37"/>
      <c r="L52" s="37"/>
    </row>
    <row r="53" spans="1:12" ht="30" customHeight="1" x14ac:dyDescent="0.3">
      <c r="A53" s="37"/>
      <c r="B53" s="37"/>
      <c r="C53" s="37"/>
      <c r="D53" s="37"/>
      <c r="E53" s="37"/>
      <c r="F53" s="37"/>
      <c r="G53" s="37"/>
      <c r="H53" s="37"/>
      <c r="I53" s="37"/>
      <c r="J53" s="37"/>
      <c r="K53" s="37"/>
      <c r="L53" s="37"/>
    </row>
    <row r="54" spans="1:12" ht="30" customHeight="1" x14ac:dyDescent="0.3">
      <c r="A54" s="37"/>
      <c r="B54" s="37"/>
      <c r="C54" s="37"/>
      <c r="D54" s="37"/>
      <c r="E54" s="37"/>
      <c r="F54" s="37"/>
      <c r="G54" s="37"/>
      <c r="H54" s="37"/>
      <c r="I54" s="37"/>
      <c r="J54" s="37"/>
      <c r="K54" s="37"/>
      <c r="L54" s="37"/>
    </row>
    <row r="55" spans="1:12" ht="30" customHeight="1" x14ac:dyDescent="0.3">
      <c r="A55" s="37"/>
      <c r="B55" s="37"/>
      <c r="C55" s="37"/>
      <c r="D55" s="37"/>
      <c r="E55" s="37"/>
      <c r="F55" s="37"/>
      <c r="G55" s="37"/>
      <c r="H55" s="37"/>
      <c r="I55" s="37"/>
      <c r="J55" s="37"/>
      <c r="K55" s="37"/>
      <c r="L55" s="37"/>
    </row>
    <row r="56" spans="1:12" ht="30" customHeight="1" x14ac:dyDescent="0.3">
      <c r="A56" s="37"/>
      <c r="B56" s="37"/>
      <c r="C56" s="37"/>
      <c r="D56" s="37"/>
      <c r="E56" s="37"/>
      <c r="F56" s="37"/>
      <c r="G56" s="37"/>
      <c r="H56" s="37"/>
      <c r="I56" s="37"/>
      <c r="J56" s="37"/>
      <c r="K56" s="37"/>
      <c r="L56" s="37"/>
    </row>
    <row r="57" spans="1:12" ht="30" customHeight="1" x14ac:dyDescent="0.3">
      <c r="A57" s="37"/>
      <c r="B57" s="37"/>
      <c r="C57" s="37"/>
      <c r="D57" s="37"/>
      <c r="E57" s="37"/>
      <c r="F57" s="37"/>
      <c r="G57" s="37"/>
      <c r="H57" s="37"/>
      <c r="I57" s="37"/>
      <c r="J57" s="37"/>
      <c r="K57" s="37"/>
      <c r="L57" s="37"/>
    </row>
    <row r="58" spans="1:12" ht="30" customHeight="1" x14ac:dyDescent="0.3">
      <c r="A58" s="37"/>
      <c r="B58" s="37"/>
      <c r="C58" s="37"/>
      <c r="D58" s="37"/>
      <c r="E58" s="37"/>
      <c r="F58" s="37"/>
      <c r="G58" s="37"/>
      <c r="H58" s="37"/>
      <c r="I58" s="37"/>
      <c r="J58" s="37"/>
      <c r="K58" s="37"/>
      <c r="L58" s="37"/>
    </row>
    <row r="59" spans="1:12" ht="30" customHeight="1" x14ac:dyDescent="0.3">
      <c r="A59" s="37"/>
      <c r="B59" s="37"/>
      <c r="C59" s="37"/>
      <c r="D59" s="37"/>
      <c r="E59" s="37"/>
      <c r="F59" s="37"/>
      <c r="G59" s="37"/>
      <c r="H59" s="37"/>
      <c r="I59" s="37"/>
      <c r="J59" s="37"/>
      <c r="K59" s="37"/>
      <c r="L59" s="37"/>
    </row>
    <row r="60" spans="1:12" ht="30" customHeight="1" x14ac:dyDescent="0.3">
      <c r="A60" s="37"/>
      <c r="B60" s="37"/>
      <c r="C60" s="37"/>
      <c r="D60" s="37"/>
      <c r="E60" s="37"/>
      <c r="F60" s="37"/>
      <c r="G60" s="37"/>
      <c r="H60" s="37"/>
      <c r="I60" s="37"/>
      <c r="J60" s="37"/>
      <c r="K60" s="37"/>
      <c r="L60" s="37"/>
    </row>
    <row r="61" spans="1:12" ht="30" customHeight="1" x14ac:dyDescent="0.3">
      <c r="A61" s="37"/>
      <c r="B61" s="37"/>
      <c r="C61" s="37"/>
      <c r="D61" s="37"/>
      <c r="E61" s="37"/>
      <c r="F61" s="37"/>
      <c r="G61" s="37"/>
      <c r="H61" s="37"/>
      <c r="I61" s="37"/>
      <c r="J61" s="37"/>
      <c r="K61" s="37"/>
      <c r="L61" s="37"/>
    </row>
    <row r="62" spans="1:12" ht="30" customHeight="1" x14ac:dyDescent="0.3">
      <c r="A62" s="37"/>
      <c r="B62" s="37"/>
      <c r="C62" s="37"/>
      <c r="D62" s="37"/>
      <c r="E62" s="37"/>
      <c r="F62" s="37"/>
      <c r="G62" s="37"/>
      <c r="H62" s="37"/>
      <c r="I62" s="37"/>
      <c r="J62" s="37"/>
      <c r="K62" s="37"/>
      <c r="L62" s="37"/>
    </row>
    <row r="63" spans="1:12" ht="30" customHeight="1" x14ac:dyDescent="0.3">
      <c r="A63" s="37"/>
      <c r="B63" s="37"/>
      <c r="C63" s="37"/>
      <c r="D63" s="37"/>
      <c r="E63" s="37"/>
      <c r="F63" s="37"/>
      <c r="G63" s="37"/>
      <c r="H63" s="37"/>
      <c r="I63" s="37"/>
      <c r="J63" s="37"/>
      <c r="K63" s="37"/>
      <c r="L63" s="37"/>
    </row>
    <row r="64" spans="1:12" ht="30" customHeight="1" x14ac:dyDescent="0.3">
      <c r="A64" s="37"/>
      <c r="B64" s="37"/>
      <c r="C64" s="37"/>
      <c r="D64" s="37"/>
      <c r="E64" s="37"/>
      <c r="F64" s="37"/>
      <c r="G64" s="37"/>
      <c r="H64" s="37"/>
      <c r="I64" s="37"/>
      <c r="J64" s="37"/>
      <c r="K64" s="37"/>
      <c r="L64" s="37"/>
    </row>
    <row r="65" spans="1:12" ht="30" customHeight="1" x14ac:dyDescent="0.3">
      <c r="A65" s="37"/>
      <c r="B65" s="37"/>
      <c r="C65" s="37"/>
      <c r="D65" s="37"/>
      <c r="E65" s="37"/>
      <c r="F65" s="37"/>
      <c r="G65" s="37"/>
      <c r="H65" s="37"/>
      <c r="I65" s="37"/>
      <c r="J65" s="37"/>
      <c r="K65" s="37"/>
      <c r="L65" s="37"/>
    </row>
    <row r="66" spans="1:12" ht="30" customHeight="1" x14ac:dyDescent="0.3">
      <c r="A66" s="37"/>
      <c r="B66" s="37"/>
      <c r="C66" s="37"/>
      <c r="D66" s="37"/>
      <c r="E66" s="37"/>
      <c r="F66" s="37"/>
      <c r="G66" s="37"/>
      <c r="H66" s="37"/>
      <c r="I66" s="37"/>
      <c r="J66" s="37"/>
      <c r="K66" s="37"/>
      <c r="L66" s="37"/>
    </row>
    <row r="67" spans="1:12" ht="30" customHeight="1" x14ac:dyDescent="0.3">
      <c r="A67" s="37"/>
      <c r="B67" s="37"/>
      <c r="C67" s="37"/>
      <c r="D67" s="37"/>
      <c r="E67" s="37"/>
      <c r="F67" s="37"/>
      <c r="G67" s="37"/>
      <c r="H67" s="37"/>
      <c r="I67" s="37"/>
      <c r="J67" s="37"/>
      <c r="K67" s="37"/>
      <c r="L67" s="37"/>
    </row>
    <row r="68" spans="1:12" ht="30" customHeight="1" x14ac:dyDescent="0.3">
      <c r="A68" s="37"/>
      <c r="B68" s="37"/>
      <c r="C68" s="37"/>
      <c r="D68" s="37"/>
      <c r="E68" s="37"/>
      <c r="F68" s="37"/>
      <c r="G68" s="37"/>
      <c r="H68" s="37"/>
      <c r="I68" s="37"/>
      <c r="J68" s="37"/>
      <c r="K68" s="37"/>
      <c r="L68" s="37"/>
    </row>
    <row r="69" spans="1:12" ht="30" customHeight="1" x14ac:dyDescent="0.3">
      <c r="A69" s="37"/>
      <c r="B69" s="37"/>
      <c r="C69" s="37"/>
      <c r="D69" s="37"/>
      <c r="E69" s="37"/>
      <c r="F69" s="37"/>
      <c r="G69" s="37"/>
      <c r="H69" s="37"/>
      <c r="I69" s="37"/>
      <c r="J69" s="37"/>
      <c r="K69" s="37"/>
      <c r="L69" s="37"/>
    </row>
    <row r="70" spans="1:12" ht="30" customHeight="1" x14ac:dyDescent="0.3">
      <c r="A70" s="37"/>
      <c r="B70" s="37"/>
      <c r="C70" s="37"/>
      <c r="D70" s="37"/>
      <c r="E70" s="37"/>
      <c r="F70" s="37"/>
      <c r="G70" s="37"/>
      <c r="H70" s="37"/>
      <c r="I70" s="37"/>
      <c r="J70" s="37"/>
      <c r="K70" s="37"/>
      <c r="L70" s="37"/>
    </row>
    <row r="71" spans="1:12" ht="30" customHeight="1" x14ac:dyDescent="0.3">
      <c r="A71" s="37"/>
      <c r="B71" s="37"/>
      <c r="C71" s="37"/>
      <c r="D71" s="37"/>
      <c r="E71" s="37"/>
      <c r="F71" s="37"/>
      <c r="G71" s="37"/>
      <c r="H71" s="37"/>
      <c r="I71" s="37"/>
      <c r="J71" s="37"/>
      <c r="K71" s="37"/>
      <c r="L71" s="37"/>
    </row>
    <row r="72" spans="1:12" ht="30" customHeight="1" x14ac:dyDescent="0.3">
      <c r="A72" s="37"/>
      <c r="B72" s="37"/>
      <c r="C72" s="37"/>
      <c r="D72" s="37"/>
      <c r="E72" s="37"/>
      <c r="F72" s="37"/>
      <c r="G72" s="37"/>
      <c r="H72" s="37"/>
      <c r="I72" s="37"/>
      <c r="J72" s="37"/>
      <c r="K72" s="37"/>
      <c r="L72" s="37"/>
    </row>
    <row r="73" spans="1:12" ht="30" customHeight="1" x14ac:dyDescent="0.3">
      <c r="A73" s="37"/>
      <c r="B73" s="37"/>
      <c r="C73" s="37"/>
      <c r="D73" s="37"/>
      <c r="E73" s="37"/>
      <c r="F73" s="37"/>
      <c r="G73" s="37"/>
      <c r="H73" s="37"/>
      <c r="I73" s="37"/>
      <c r="J73" s="37"/>
      <c r="K73" s="37"/>
      <c r="L73" s="37"/>
    </row>
    <row r="74" spans="1:12" ht="30" customHeight="1" x14ac:dyDescent="0.3">
      <c r="A74" s="37"/>
      <c r="B74" s="37"/>
      <c r="C74" s="37"/>
      <c r="D74" s="37"/>
      <c r="E74" s="37"/>
      <c r="F74" s="37"/>
      <c r="G74" s="37"/>
      <c r="H74" s="37"/>
      <c r="I74" s="37"/>
      <c r="J74" s="37"/>
      <c r="K74" s="37"/>
      <c r="L74" s="37"/>
    </row>
    <row r="75" spans="1:12" ht="30" customHeight="1" x14ac:dyDescent="0.3">
      <c r="A75" s="37"/>
      <c r="B75" s="37"/>
      <c r="C75" s="37"/>
      <c r="D75" s="37"/>
      <c r="E75" s="37"/>
      <c r="F75" s="37"/>
      <c r="G75" s="37"/>
      <c r="H75" s="37"/>
      <c r="I75" s="37"/>
      <c r="J75" s="37"/>
      <c r="K75" s="37"/>
      <c r="L75" s="37"/>
    </row>
    <row r="76" spans="1:12" ht="30" customHeight="1" x14ac:dyDescent="0.3">
      <c r="A76" s="37"/>
      <c r="B76" s="37"/>
      <c r="C76" s="37"/>
      <c r="D76" s="37"/>
      <c r="E76" s="37"/>
      <c r="F76" s="37"/>
      <c r="G76" s="37"/>
      <c r="H76" s="37"/>
      <c r="I76" s="37"/>
      <c r="J76" s="37"/>
      <c r="K76" s="37"/>
      <c r="L76" s="37"/>
    </row>
    <row r="77" spans="1:12" ht="30" customHeight="1" x14ac:dyDescent="0.3">
      <c r="A77" s="37"/>
      <c r="B77" s="37"/>
      <c r="C77" s="37"/>
      <c r="D77" s="37"/>
      <c r="E77" s="37"/>
      <c r="F77" s="37"/>
      <c r="G77" s="37"/>
      <c r="H77" s="37"/>
      <c r="I77" s="37"/>
      <c r="J77" s="37"/>
      <c r="K77" s="37"/>
      <c r="L77" s="37"/>
    </row>
    <row r="78" spans="1:12" ht="30" customHeight="1" x14ac:dyDescent="0.3">
      <c r="A78" s="37"/>
      <c r="B78" s="37"/>
      <c r="C78" s="37"/>
      <c r="D78" s="37"/>
      <c r="E78" s="37"/>
      <c r="F78" s="37"/>
      <c r="G78" s="37"/>
      <c r="H78" s="37"/>
      <c r="I78" s="37"/>
      <c r="J78" s="37"/>
      <c r="K78" s="37"/>
      <c r="L78" s="37"/>
    </row>
    <row r="79" spans="1:12" ht="30" customHeight="1" x14ac:dyDescent="0.3">
      <c r="A79" s="37"/>
      <c r="B79" s="37"/>
      <c r="C79" s="37"/>
      <c r="D79" s="37"/>
      <c r="E79" s="37"/>
      <c r="F79" s="37"/>
      <c r="G79" s="37"/>
      <c r="H79" s="37"/>
      <c r="I79" s="37"/>
      <c r="J79" s="37"/>
      <c r="K79" s="37"/>
      <c r="L79" s="37"/>
    </row>
    <row r="80" spans="1:12" ht="30" customHeight="1" x14ac:dyDescent="0.3">
      <c r="A80" s="37"/>
      <c r="B80" s="37"/>
      <c r="C80" s="37"/>
      <c r="D80" s="37"/>
      <c r="E80" s="37"/>
      <c r="F80" s="37"/>
      <c r="G80" s="37"/>
      <c r="H80" s="37"/>
      <c r="I80" s="37"/>
      <c r="J80" s="37"/>
      <c r="K80" s="37"/>
      <c r="L80" s="37"/>
    </row>
    <row r="81" spans="1:12" ht="30" customHeight="1" x14ac:dyDescent="0.3">
      <c r="A81" s="37"/>
      <c r="B81" s="37"/>
      <c r="C81" s="37"/>
      <c r="D81" s="37"/>
      <c r="E81" s="37"/>
      <c r="F81" s="37"/>
      <c r="G81" s="37"/>
      <c r="H81" s="37"/>
      <c r="I81" s="37"/>
      <c r="J81" s="37"/>
      <c r="K81" s="37"/>
      <c r="L81" s="37"/>
    </row>
    <row r="82" spans="1:12" ht="30" customHeight="1" x14ac:dyDescent="0.3">
      <c r="A82" s="37"/>
      <c r="B82" s="37"/>
      <c r="C82" s="37"/>
      <c r="D82" s="37"/>
      <c r="E82" s="37"/>
      <c r="F82" s="37"/>
      <c r="G82" s="37"/>
      <c r="H82" s="37"/>
      <c r="I82" s="37"/>
      <c r="J82" s="37"/>
      <c r="K82" s="37"/>
      <c r="L82" s="37"/>
    </row>
    <row r="83" spans="1:12" ht="30" customHeight="1" x14ac:dyDescent="0.3">
      <c r="A83" s="37"/>
      <c r="B83" s="37"/>
      <c r="C83" s="37"/>
      <c r="D83" s="37"/>
      <c r="E83" s="37"/>
      <c r="F83" s="37"/>
      <c r="G83" s="37"/>
      <c r="H83" s="37"/>
      <c r="I83" s="37"/>
      <c r="J83" s="37"/>
      <c r="K83" s="37"/>
      <c r="L83" s="37"/>
    </row>
    <row r="84" spans="1:12" ht="30" customHeight="1" x14ac:dyDescent="0.3">
      <c r="A84" s="37"/>
      <c r="B84" s="37"/>
      <c r="C84" s="37"/>
      <c r="D84" s="37"/>
      <c r="E84" s="37"/>
      <c r="F84" s="37"/>
      <c r="G84" s="37"/>
      <c r="H84" s="37"/>
      <c r="I84" s="37"/>
      <c r="J84" s="37"/>
      <c r="K84" s="37"/>
      <c r="L84" s="37"/>
    </row>
    <row r="85" spans="1:12" ht="30" customHeight="1" x14ac:dyDescent="0.3">
      <c r="A85" s="37"/>
      <c r="B85" s="37"/>
      <c r="C85" s="37"/>
      <c r="D85" s="37"/>
      <c r="E85" s="37"/>
      <c r="F85" s="37"/>
      <c r="G85" s="37"/>
      <c r="H85" s="37"/>
      <c r="I85" s="37"/>
      <c r="J85" s="37"/>
      <c r="K85" s="37"/>
      <c r="L85" s="37"/>
    </row>
    <row r="86" spans="1:12" ht="30" customHeight="1" x14ac:dyDescent="0.3">
      <c r="A86" s="37"/>
      <c r="B86" s="37"/>
      <c r="C86" s="37"/>
      <c r="D86" s="37"/>
      <c r="E86" s="37"/>
      <c r="F86" s="37"/>
      <c r="G86" s="37"/>
      <c r="H86" s="37"/>
      <c r="I86" s="37"/>
      <c r="J86" s="37"/>
      <c r="K86" s="37"/>
      <c r="L86" s="37"/>
    </row>
    <row r="87" spans="1:12" ht="30" customHeight="1" x14ac:dyDescent="0.3">
      <c r="A87" s="37"/>
      <c r="B87" s="37"/>
      <c r="C87" s="37"/>
      <c r="D87" s="37"/>
      <c r="E87" s="37"/>
      <c r="F87" s="37"/>
      <c r="G87" s="37"/>
      <c r="H87" s="37"/>
      <c r="I87" s="37"/>
      <c r="J87" s="37"/>
      <c r="K87" s="37"/>
      <c r="L87" s="37"/>
    </row>
    <row r="88" spans="1:12" ht="30" customHeight="1" x14ac:dyDescent="0.3">
      <c r="A88" s="37"/>
      <c r="B88" s="37"/>
      <c r="C88" s="37"/>
      <c r="D88" s="37"/>
      <c r="E88" s="37"/>
      <c r="F88" s="37"/>
      <c r="G88" s="37"/>
      <c r="H88" s="37"/>
      <c r="I88" s="37"/>
      <c r="J88" s="37"/>
      <c r="K88" s="37"/>
      <c r="L88" s="37"/>
    </row>
    <row r="89" spans="1:12" ht="30" customHeight="1" x14ac:dyDescent="0.3">
      <c r="A89" s="37"/>
      <c r="B89" s="37"/>
      <c r="C89" s="37"/>
      <c r="D89" s="37"/>
      <c r="E89" s="37"/>
      <c r="F89" s="37"/>
      <c r="G89" s="37"/>
      <c r="H89" s="37"/>
      <c r="I89" s="37"/>
      <c r="J89" s="37"/>
      <c r="K89" s="37"/>
      <c r="L89" s="37"/>
    </row>
    <row r="90" spans="1:12" ht="30" customHeight="1" x14ac:dyDescent="0.3">
      <c r="A90" s="37"/>
      <c r="B90" s="37"/>
      <c r="C90" s="37"/>
      <c r="D90" s="37"/>
      <c r="E90" s="37"/>
      <c r="F90" s="37"/>
      <c r="G90" s="37"/>
      <c r="H90" s="37"/>
      <c r="I90" s="37"/>
      <c r="J90" s="37"/>
      <c r="K90" s="37"/>
      <c r="L90" s="37"/>
    </row>
    <row r="91" spans="1:12" ht="30" customHeight="1" x14ac:dyDescent="0.3">
      <c r="A91" s="37"/>
      <c r="B91" s="37"/>
      <c r="C91" s="37"/>
      <c r="D91" s="37"/>
      <c r="E91" s="37"/>
      <c r="F91" s="37"/>
      <c r="G91" s="37"/>
      <c r="H91" s="37"/>
      <c r="I91" s="37"/>
      <c r="J91" s="37"/>
      <c r="K91" s="37"/>
      <c r="L91" s="37"/>
    </row>
    <row r="92" spans="1:12" ht="30" customHeight="1" x14ac:dyDescent="0.3">
      <c r="A92" s="37"/>
      <c r="B92" s="37"/>
      <c r="C92" s="37"/>
      <c r="D92" s="37"/>
      <c r="E92" s="37"/>
      <c r="F92" s="37"/>
      <c r="G92" s="37"/>
      <c r="H92" s="37"/>
      <c r="I92" s="37"/>
      <c r="J92" s="37"/>
      <c r="K92" s="37"/>
      <c r="L92" s="37"/>
    </row>
    <row r="93" spans="1:12" ht="30" customHeight="1" x14ac:dyDescent="0.3">
      <c r="A93" s="37"/>
      <c r="B93" s="37"/>
      <c r="C93" s="37"/>
      <c r="D93" s="37"/>
      <c r="E93" s="37"/>
      <c r="F93" s="37"/>
      <c r="G93" s="37"/>
      <c r="H93" s="37"/>
      <c r="I93" s="37"/>
      <c r="J93" s="37"/>
      <c r="K93" s="37"/>
      <c r="L93" s="37"/>
    </row>
    <row r="94" spans="1:12" ht="30" customHeight="1" x14ac:dyDescent="0.3">
      <c r="A94" s="37"/>
      <c r="B94" s="37"/>
      <c r="C94" s="37"/>
      <c r="D94" s="37"/>
      <c r="E94" s="37"/>
      <c r="F94" s="37"/>
      <c r="G94" s="37"/>
      <c r="H94" s="37"/>
      <c r="I94" s="37"/>
      <c r="J94" s="37"/>
      <c r="K94" s="37"/>
      <c r="L94" s="37"/>
    </row>
    <row r="95" spans="1:12" ht="30" customHeight="1" x14ac:dyDescent="0.3">
      <c r="A95" s="37"/>
      <c r="B95" s="37"/>
      <c r="C95" s="37"/>
      <c r="D95" s="37"/>
      <c r="E95" s="37"/>
      <c r="F95" s="37"/>
      <c r="G95" s="37"/>
      <c r="H95" s="37"/>
      <c r="I95" s="37"/>
      <c r="J95" s="37"/>
      <c r="K95" s="37"/>
      <c r="L95" s="37"/>
    </row>
    <row r="96" spans="1:12" ht="30" customHeight="1" x14ac:dyDescent="0.3">
      <c r="A96" s="37"/>
      <c r="B96" s="37"/>
      <c r="C96" s="37"/>
      <c r="D96" s="37"/>
      <c r="E96" s="37"/>
      <c r="F96" s="37"/>
      <c r="G96" s="37"/>
      <c r="H96" s="37"/>
      <c r="I96" s="37"/>
      <c r="J96" s="37"/>
      <c r="K96" s="37"/>
      <c r="L96" s="37"/>
    </row>
    <row r="97" spans="1:12" ht="30" customHeight="1" x14ac:dyDescent="0.3">
      <c r="A97" s="37"/>
      <c r="B97" s="37"/>
      <c r="C97" s="37"/>
      <c r="D97" s="37"/>
      <c r="E97" s="37"/>
      <c r="F97" s="37"/>
      <c r="G97" s="37"/>
      <c r="H97" s="37"/>
      <c r="I97" s="37"/>
      <c r="J97" s="37"/>
      <c r="K97" s="37"/>
      <c r="L97" s="37"/>
    </row>
    <row r="98" spans="1:12" ht="30" customHeight="1" x14ac:dyDescent="0.3">
      <c r="A98" s="37"/>
      <c r="B98" s="37"/>
      <c r="C98" s="37"/>
      <c r="D98" s="37"/>
      <c r="E98" s="37"/>
      <c r="F98" s="37"/>
      <c r="G98" s="37"/>
      <c r="H98" s="37"/>
      <c r="I98" s="37"/>
      <c r="J98" s="37"/>
      <c r="K98" s="37"/>
      <c r="L98" s="37"/>
    </row>
    <row r="99" spans="1:12" ht="30" customHeight="1" x14ac:dyDescent="0.3">
      <c r="A99" s="37"/>
      <c r="B99" s="37"/>
      <c r="C99" s="37"/>
      <c r="D99" s="37"/>
      <c r="E99" s="37"/>
      <c r="F99" s="37"/>
      <c r="G99" s="37"/>
      <c r="H99" s="37"/>
      <c r="I99" s="37"/>
      <c r="J99" s="37"/>
      <c r="K99" s="37"/>
      <c r="L99" s="37"/>
    </row>
    <row r="100" spans="1:12" ht="30" customHeight="1" x14ac:dyDescent="0.3">
      <c r="A100" s="37"/>
      <c r="B100" s="37"/>
      <c r="C100" s="37"/>
      <c r="D100" s="37"/>
      <c r="E100" s="37"/>
      <c r="F100" s="37"/>
      <c r="G100" s="37"/>
      <c r="H100" s="37"/>
      <c r="I100" s="37"/>
      <c r="J100" s="37"/>
      <c r="K100" s="37"/>
      <c r="L100" s="37"/>
    </row>
    <row r="101" spans="1:12" ht="30" customHeight="1" x14ac:dyDescent="0.3">
      <c r="A101" s="37"/>
      <c r="B101" s="37"/>
      <c r="C101" s="37"/>
      <c r="D101" s="37"/>
      <c r="E101" s="37"/>
      <c r="F101" s="37"/>
      <c r="G101" s="37"/>
      <c r="H101" s="37"/>
      <c r="I101" s="37"/>
      <c r="J101" s="37"/>
      <c r="K101" s="37"/>
      <c r="L101" s="37"/>
    </row>
    <row r="102" spans="1:12" ht="30" customHeight="1" x14ac:dyDescent="0.3">
      <c r="A102" s="37"/>
      <c r="B102" s="37"/>
      <c r="C102" s="37"/>
      <c r="D102" s="37"/>
      <c r="E102" s="37"/>
      <c r="F102" s="37"/>
      <c r="G102" s="37"/>
      <c r="H102" s="37"/>
      <c r="I102" s="37"/>
      <c r="J102" s="37"/>
      <c r="K102" s="37"/>
      <c r="L102" s="37"/>
    </row>
    <row r="103" spans="1:12" ht="30" customHeight="1" x14ac:dyDescent="0.3">
      <c r="A103" s="37"/>
      <c r="B103" s="37"/>
      <c r="C103" s="37"/>
      <c r="D103" s="37"/>
      <c r="E103" s="37"/>
      <c r="F103" s="37"/>
      <c r="G103" s="37"/>
      <c r="H103" s="37"/>
      <c r="I103" s="37"/>
      <c r="J103" s="37"/>
      <c r="K103" s="37"/>
      <c r="L103" s="37"/>
    </row>
    <row r="104" spans="1:12" ht="30" customHeight="1" x14ac:dyDescent="0.3">
      <c r="A104" s="37"/>
      <c r="B104" s="37"/>
      <c r="C104" s="37"/>
      <c r="D104" s="37"/>
      <c r="E104" s="37"/>
      <c r="F104" s="37"/>
      <c r="G104" s="37"/>
      <c r="H104" s="37"/>
      <c r="I104" s="37"/>
      <c r="J104" s="37"/>
      <c r="K104" s="37"/>
      <c r="L104" s="37"/>
    </row>
    <row r="105" spans="1:12" ht="30" customHeight="1" x14ac:dyDescent="0.3">
      <c r="A105" s="37"/>
      <c r="B105" s="37"/>
      <c r="C105" s="37"/>
      <c r="D105" s="37"/>
      <c r="E105" s="37"/>
      <c r="F105" s="37"/>
      <c r="G105" s="37"/>
      <c r="H105" s="37"/>
      <c r="I105" s="37"/>
      <c r="J105" s="37"/>
      <c r="K105" s="37"/>
      <c r="L105" s="37"/>
    </row>
    <row r="106" spans="1:12" ht="30" customHeight="1" x14ac:dyDescent="0.3">
      <c r="A106" s="37"/>
      <c r="B106" s="37"/>
      <c r="C106" s="37"/>
      <c r="D106" s="37"/>
      <c r="E106" s="37"/>
      <c r="F106" s="37"/>
      <c r="G106" s="37"/>
      <c r="H106" s="37"/>
      <c r="I106" s="37"/>
      <c r="J106" s="37"/>
      <c r="K106" s="37"/>
      <c r="L106" s="37"/>
    </row>
    <row r="107" spans="1:12" ht="30" customHeight="1" x14ac:dyDescent="0.3">
      <c r="A107" s="37"/>
      <c r="B107" s="37"/>
      <c r="C107" s="37"/>
      <c r="D107" s="37"/>
      <c r="E107" s="37"/>
      <c r="F107" s="37"/>
      <c r="G107" s="37"/>
      <c r="H107" s="37"/>
      <c r="I107" s="37"/>
      <c r="J107" s="37"/>
      <c r="K107" s="37"/>
      <c r="L107" s="37"/>
    </row>
    <row r="108" spans="1:12" ht="30" customHeight="1" x14ac:dyDescent="0.3">
      <c r="A108" s="37"/>
      <c r="B108" s="37"/>
      <c r="C108" s="37"/>
      <c r="D108" s="37"/>
      <c r="E108" s="37"/>
      <c r="F108" s="37"/>
      <c r="G108" s="37"/>
      <c r="H108" s="37"/>
      <c r="I108" s="37"/>
      <c r="J108" s="37"/>
      <c r="K108" s="37"/>
      <c r="L108" s="37"/>
    </row>
    <row r="109" spans="1:12" ht="30" customHeight="1" x14ac:dyDescent="0.3">
      <c r="A109" s="37"/>
      <c r="B109" s="37"/>
      <c r="C109" s="37"/>
      <c r="D109" s="37"/>
      <c r="E109" s="37"/>
      <c r="F109" s="37"/>
      <c r="G109" s="37"/>
      <c r="H109" s="37"/>
      <c r="I109" s="37"/>
      <c r="J109" s="37"/>
      <c r="K109" s="37"/>
      <c r="L109" s="37"/>
    </row>
    <row r="110" spans="1:12" ht="30" customHeight="1" x14ac:dyDescent="0.3">
      <c r="A110" s="37"/>
      <c r="B110" s="37"/>
      <c r="C110" s="37"/>
      <c r="D110" s="37"/>
      <c r="E110" s="37"/>
      <c r="F110" s="37"/>
      <c r="G110" s="37"/>
      <c r="H110" s="37"/>
      <c r="I110" s="37"/>
      <c r="J110" s="37"/>
      <c r="K110" s="37"/>
      <c r="L110" s="37"/>
    </row>
    <row r="111" spans="1:12" ht="30" customHeight="1" x14ac:dyDescent="0.3">
      <c r="A111" s="37"/>
      <c r="B111" s="37"/>
      <c r="C111" s="37"/>
      <c r="D111" s="37"/>
      <c r="E111" s="37"/>
      <c r="F111" s="37"/>
      <c r="G111" s="37"/>
      <c r="H111" s="37"/>
      <c r="I111" s="37"/>
      <c r="J111" s="37"/>
      <c r="K111" s="37"/>
      <c r="L111" s="37"/>
    </row>
    <row r="112" spans="1:12" ht="30" customHeight="1" x14ac:dyDescent="0.3">
      <c r="A112" s="37"/>
      <c r="B112" s="37"/>
      <c r="C112" s="37"/>
      <c r="D112" s="37"/>
      <c r="E112" s="37"/>
      <c r="F112" s="37"/>
      <c r="G112" s="37"/>
      <c r="H112" s="37"/>
      <c r="I112" s="37"/>
      <c r="J112" s="37"/>
      <c r="K112" s="37"/>
      <c r="L112" s="37"/>
    </row>
    <row r="113" spans="1:12" ht="30" customHeight="1" x14ac:dyDescent="0.3">
      <c r="A113" s="37"/>
      <c r="B113" s="37"/>
      <c r="C113" s="37"/>
      <c r="D113" s="37"/>
      <c r="E113" s="37"/>
      <c r="F113" s="37"/>
      <c r="G113" s="37"/>
      <c r="H113" s="37"/>
      <c r="I113" s="37"/>
      <c r="J113" s="37"/>
      <c r="K113" s="37"/>
      <c r="L113" s="37"/>
    </row>
    <row r="114" spans="1:12" ht="30" customHeight="1" x14ac:dyDescent="0.3">
      <c r="A114" s="37"/>
      <c r="B114" s="37"/>
      <c r="C114" s="37"/>
      <c r="D114" s="37"/>
      <c r="E114" s="37"/>
      <c r="F114" s="37"/>
      <c r="G114" s="37"/>
      <c r="H114" s="37"/>
      <c r="I114" s="37"/>
      <c r="J114" s="37"/>
      <c r="K114" s="37"/>
      <c r="L114" s="37"/>
    </row>
    <row r="115" spans="1:12" ht="30" customHeight="1" x14ac:dyDescent="0.3">
      <c r="A115" s="37"/>
      <c r="B115" s="37"/>
      <c r="C115" s="37"/>
      <c r="D115" s="37"/>
      <c r="E115" s="37"/>
      <c r="F115" s="37"/>
      <c r="G115" s="37"/>
      <c r="H115" s="37"/>
      <c r="I115" s="37"/>
      <c r="J115" s="37"/>
      <c r="K115" s="37"/>
      <c r="L115" s="37"/>
    </row>
    <row r="116" spans="1:12" ht="30" customHeight="1" x14ac:dyDescent="0.3">
      <c r="A116" s="37"/>
      <c r="B116" s="37"/>
      <c r="C116" s="37"/>
      <c r="D116" s="37"/>
      <c r="E116" s="37"/>
      <c r="F116" s="37"/>
      <c r="G116" s="37"/>
      <c r="H116" s="37"/>
      <c r="I116" s="37"/>
      <c r="J116" s="37"/>
      <c r="K116" s="37"/>
      <c r="L116" s="37"/>
    </row>
    <row r="117" spans="1:12" ht="30" customHeight="1" x14ac:dyDescent="0.3">
      <c r="A117" s="37"/>
      <c r="B117" s="37"/>
      <c r="C117" s="37"/>
      <c r="D117" s="37"/>
      <c r="E117" s="37"/>
      <c r="F117" s="37"/>
      <c r="G117" s="37"/>
      <c r="H117" s="37"/>
      <c r="I117" s="37"/>
      <c r="J117" s="37"/>
      <c r="K117" s="37"/>
      <c r="L117" s="37"/>
    </row>
    <row r="118" spans="1:12" ht="30" customHeight="1" x14ac:dyDescent="0.3">
      <c r="A118" s="37"/>
      <c r="B118" s="37"/>
      <c r="C118" s="37"/>
      <c r="D118" s="37"/>
      <c r="E118" s="37"/>
      <c r="F118" s="37"/>
      <c r="G118" s="37"/>
      <c r="H118" s="37"/>
      <c r="I118" s="37"/>
      <c r="J118" s="37"/>
      <c r="K118" s="37"/>
      <c r="L118" s="37"/>
    </row>
    <row r="119" spans="1:12" ht="30" customHeight="1" x14ac:dyDescent="0.3">
      <c r="A119" s="37"/>
      <c r="B119" s="37"/>
      <c r="C119" s="37"/>
      <c r="D119" s="37"/>
      <c r="E119" s="37"/>
      <c r="F119" s="37"/>
      <c r="G119" s="37"/>
      <c r="H119" s="37"/>
      <c r="I119" s="37"/>
      <c r="J119" s="37"/>
      <c r="K119" s="37"/>
      <c r="L119" s="37"/>
    </row>
    <row r="120" spans="1:12" ht="30" customHeight="1" x14ac:dyDescent="0.3">
      <c r="A120" s="37"/>
      <c r="B120" s="37"/>
      <c r="C120" s="37"/>
      <c r="D120" s="37"/>
      <c r="E120" s="37"/>
      <c r="F120" s="37"/>
      <c r="G120" s="37"/>
      <c r="H120" s="37"/>
      <c r="I120" s="37"/>
      <c r="J120" s="37"/>
      <c r="K120" s="37"/>
      <c r="L120" s="37"/>
    </row>
  </sheetData>
  <dataValidations count="3">
    <dataValidation type="list" allowBlank="1" sqref="I5:I120" xr:uid="{00000000-0002-0000-0300-000000000000}">
      <formula1>"Must,Should,Could,Wont"</formula1>
      <formula2>0</formula2>
    </dataValidation>
    <dataValidation type="list" allowBlank="1" sqref="J5:J120" xr:uid="{00000000-0002-0000-0300-000001000000}">
      <formula1>"Propuesto,Por validar,Validado,Aprobado,Descartado"</formula1>
      <formula2>0</formula2>
    </dataValidation>
    <dataValidation type="list" allowBlank="1" sqref="C5:C120" xr:uid="{00000000-0002-0000-0300-000002000000}">
      <formula1>"Funcional,No funcional,Regla de negocio,Restriccion"</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F19"/>
  <sheetViews>
    <sheetView showGridLines="0" zoomScaleNormal="100" workbookViewId="0"/>
  </sheetViews>
  <sheetFormatPr baseColWidth="10" defaultColWidth="8.6640625" defaultRowHeight="14.4" x14ac:dyDescent="0.3"/>
  <cols>
    <col min="1" max="1" width="3" customWidth="1"/>
    <col min="2" max="2" width="26" customWidth="1"/>
    <col min="3" max="3" width="14" customWidth="1"/>
    <col min="4" max="4" width="6" customWidth="1"/>
    <col min="5" max="5" width="26" customWidth="1"/>
    <col min="6" max="6" width="14" customWidth="1"/>
  </cols>
  <sheetData>
    <row r="2" spans="2:6" ht="21" customHeight="1" x14ac:dyDescent="0.4">
      <c r="B2" s="1" t="s">
        <v>414</v>
      </c>
    </row>
    <row r="3" spans="2:6" x14ac:dyDescent="0.3">
      <c r="B3" s="2" t="s">
        <v>415</v>
      </c>
    </row>
    <row r="5" spans="2:6" x14ac:dyDescent="0.3">
      <c r="B5" s="38" t="s">
        <v>416</v>
      </c>
      <c r="C5" s="39"/>
      <c r="E5" s="38" t="s">
        <v>417</v>
      </c>
      <c r="F5" s="39"/>
    </row>
    <row r="6" spans="2:6" x14ac:dyDescent="0.3">
      <c r="B6" s="40" t="s">
        <v>258</v>
      </c>
      <c r="C6" s="41">
        <f>COUNTIF('Catalogo Requisitos'!$I$5:$I$120,"Must")</f>
        <v>10</v>
      </c>
      <c r="E6" s="40" t="s">
        <v>346</v>
      </c>
      <c r="F6" s="41">
        <f>COUNTIF('Catalogo Requisitos'!$C$5:$C$120,"Funcional")</f>
        <v>10</v>
      </c>
    </row>
    <row r="7" spans="2:6" x14ac:dyDescent="0.3">
      <c r="B7" s="40" t="s">
        <v>301</v>
      </c>
      <c r="C7" s="41">
        <f>COUNTIF('Catalogo Requisitos'!$I$5:$I$120,"Should")</f>
        <v>1</v>
      </c>
      <c r="E7" s="40" t="s">
        <v>407</v>
      </c>
      <c r="F7" s="41">
        <f>COUNTIF('Catalogo Requisitos'!$C$5:$C$120,"No funcional")</f>
        <v>1</v>
      </c>
    </row>
    <row r="8" spans="2:6" x14ac:dyDescent="0.3">
      <c r="B8" s="40" t="s">
        <v>418</v>
      </c>
      <c r="C8" s="41">
        <f>COUNTIF('Catalogo Requisitos'!$I$5:$I$120,"Could")</f>
        <v>0</v>
      </c>
      <c r="E8" s="40" t="s">
        <v>419</v>
      </c>
      <c r="F8" s="41">
        <f>COUNTIF('Catalogo Requisitos'!$C$5:$C$120,"Regla de negocio")</f>
        <v>0</v>
      </c>
    </row>
    <row r="9" spans="2:6" x14ac:dyDescent="0.3">
      <c r="B9" s="40" t="s">
        <v>420</v>
      </c>
      <c r="C9" s="41">
        <f>COUNTIF('Catalogo Requisitos'!$I$5:$I$120,"Wont")</f>
        <v>0</v>
      </c>
      <c r="E9" s="40" t="s">
        <v>421</v>
      </c>
      <c r="F9" s="41">
        <f>COUNTIF('Catalogo Requisitos'!$C$5:$C$120,"Restriccion")</f>
        <v>0</v>
      </c>
    </row>
    <row r="11" spans="2:6" x14ac:dyDescent="0.3">
      <c r="B11" s="38" t="s">
        <v>422</v>
      </c>
      <c r="C11" s="39"/>
      <c r="E11" s="42" t="s">
        <v>423</v>
      </c>
      <c r="F11" s="43"/>
    </row>
    <row r="12" spans="2:6" ht="17.399999999999999" customHeight="1" x14ac:dyDescent="0.3">
      <c r="B12" s="40" t="s">
        <v>424</v>
      </c>
      <c r="C12" s="41">
        <f>COUNTIF('Catalogo Requisitos'!$J$5:$J$120,"Propuesto")</f>
        <v>0</v>
      </c>
      <c r="E12" s="8" t="s">
        <v>425</v>
      </c>
      <c r="F12" s="44">
        <f>COUNTA('Catalogo Requisitos'!$A$5:$A$120)</f>
        <v>11</v>
      </c>
    </row>
    <row r="13" spans="2:6" x14ac:dyDescent="0.3">
      <c r="B13" s="40" t="s">
        <v>391</v>
      </c>
      <c r="C13" s="41">
        <f>COUNTIF('Catalogo Requisitos'!$J$5:$J$120,"Por validar")</f>
        <v>1</v>
      </c>
    </row>
    <row r="14" spans="2:6" ht="17.399999999999999" customHeight="1" x14ac:dyDescent="0.3">
      <c r="B14" s="40" t="s">
        <v>351</v>
      </c>
      <c r="C14" s="41">
        <f>COUNTIF('Catalogo Requisitos'!$J$5:$J$120,"Validado")</f>
        <v>10</v>
      </c>
      <c r="E14" s="8" t="s">
        <v>426</v>
      </c>
      <c r="F14" s="45">
        <f>IFERROR((COUNTIF('Catalogo Requisitos'!$J$5:$J$120,"Validado")+COUNTIF('Catalogo Requisitos'!$J$5:$J$120,"Aprobado"))/COUNTA('Catalogo Requisitos'!$A$5:$A$120),0)</f>
        <v>0.90909090909090906</v>
      </c>
    </row>
    <row r="15" spans="2:6" x14ac:dyDescent="0.3">
      <c r="B15" s="40" t="s">
        <v>427</v>
      </c>
      <c r="C15" s="41">
        <f>COUNTIF('Catalogo Requisitos'!$J$5:$J$120,"Aprobado")</f>
        <v>0</v>
      </c>
    </row>
    <row r="16" spans="2:6" x14ac:dyDescent="0.3">
      <c r="B16" s="40" t="s">
        <v>428</v>
      </c>
      <c r="C16" s="41">
        <f>COUNTIF('Catalogo Requisitos'!$J$5:$J$120,"Descartado")</f>
        <v>0</v>
      </c>
    </row>
    <row r="19" spans="2:2" x14ac:dyDescent="0.3">
      <c r="B19" s="46" t="s">
        <v>429</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showGridLines="0" zoomScaleNormal="100" workbookViewId="0">
      <pane ySplit="4" topLeftCell="A5" activePane="bottomLeft" state="frozen"/>
      <selection pane="bottomLeft"/>
    </sheetView>
  </sheetViews>
  <sheetFormatPr baseColWidth="10" defaultColWidth="8.6640625" defaultRowHeight="14.4" x14ac:dyDescent="0.3"/>
  <cols>
    <col min="1" max="1" width="9" customWidth="1"/>
    <col min="2" max="3" width="46" customWidth="1"/>
    <col min="4" max="4" width="18" customWidth="1"/>
    <col min="5" max="5" width="20" customWidth="1"/>
    <col min="6" max="6" width="42" customWidth="1"/>
    <col min="7" max="7" width="14" customWidth="1"/>
  </cols>
  <sheetData>
    <row r="1" spans="1:7" ht="21" customHeight="1" x14ac:dyDescent="0.4">
      <c r="A1" s="1" t="s">
        <v>430</v>
      </c>
    </row>
    <row r="2" spans="1:7" x14ac:dyDescent="0.3">
      <c r="A2" s="2" t="s">
        <v>431</v>
      </c>
    </row>
    <row r="4" spans="1:7" ht="33.75" customHeight="1" x14ac:dyDescent="0.3">
      <c r="A4" s="11" t="s">
        <v>2</v>
      </c>
      <c r="B4" s="11" t="s">
        <v>419</v>
      </c>
      <c r="C4" s="11" t="s">
        <v>432</v>
      </c>
      <c r="D4" s="11" t="s">
        <v>433</v>
      </c>
      <c r="E4" s="11" t="s">
        <v>434</v>
      </c>
      <c r="F4" s="11" t="s">
        <v>435</v>
      </c>
      <c r="G4" s="11" t="s">
        <v>342</v>
      </c>
    </row>
    <row r="5" spans="1:7" ht="49.5" customHeight="1" x14ac:dyDescent="0.3">
      <c r="A5" s="28" t="s">
        <v>436</v>
      </c>
      <c r="B5" s="25" t="s">
        <v>437</v>
      </c>
      <c r="C5" s="47" t="s">
        <v>438</v>
      </c>
      <c r="D5" s="25" t="s">
        <v>439</v>
      </c>
      <c r="E5" s="25" t="s">
        <v>440</v>
      </c>
      <c r="F5" s="25" t="s">
        <v>441</v>
      </c>
      <c r="G5" s="25" t="s">
        <v>442</v>
      </c>
    </row>
    <row r="6" spans="1:7" ht="49.5" customHeight="1" x14ac:dyDescent="0.3">
      <c r="A6" s="28" t="s">
        <v>443</v>
      </c>
      <c r="B6" s="25" t="s">
        <v>444</v>
      </c>
      <c r="C6" s="47" t="s">
        <v>445</v>
      </c>
      <c r="D6" s="25" t="s">
        <v>446</v>
      </c>
      <c r="E6" s="25" t="s">
        <v>440</v>
      </c>
      <c r="F6" s="25" t="s">
        <v>447</v>
      </c>
      <c r="G6" s="25" t="s">
        <v>442</v>
      </c>
    </row>
    <row r="7" spans="1:7" ht="49.5" customHeight="1" x14ac:dyDescent="0.3">
      <c r="A7" s="28" t="s">
        <v>448</v>
      </c>
      <c r="B7" s="25" t="s">
        <v>449</v>
      </c>
      <c r="C7" s="47" t="s">
        <v>450</v>
      </c>
      <c r="D7" s="25" t="s">
        <v>451</v>
      </c>
      <c r="E7" s="25" t="s">
        <v>440</v>
      </c>
      <c r="F7" s="25" t="s">
        <v>452</v>
      </c>
      <c r="G7" s="25" t="s">
        <v>442</v>
      </c>
    </row>
    <row r="8" spans="1:7" ht="49.5" customHeight="1" x14ac:dyDescent="0.3">
      <c r="A8" s="28" t="s">
        <v>453</v>
      </c>
      <c r="B8" s="25" t="s">
        <v>454</v>
      </c>
      <c r="C8" s="47" t="s">
        <v>455</v>
      </c>
      <c r="D8" s="25" t="s">
        <v>456</v>
      </c>
      <c r="E8" s="25" t="s">
        <v>457</v>
      </c>
      <c r="F8" s="25" t="s">
        <v>458</v>
      </c>
      <c r="G8" s="25" t="s">
        <v>442</v>
      </c>
    </row>
    <row r="9" spans="1:7" ht="49.5" customHeight="1" x14ac:dyDescent="0.3">
      <c r="A9" s="28" t="s">
        <v>459</v>
      </c>
      <c r="B9" s="25" t="s">
        <v>460</v>
      </c>
      <c r="C9" s="47" t="s">
        <v>461</v>
      </c>
      <c r="D9" s="25" t="s">
        <v>462</v>
      </c>
      <c r="E9" s="25" t="s">
        <v>463</v>
      </c>
      <c r="F9" s="25" t="s">
        <v>464</v>
      </c>
      <c r="G9" s="25" t="s">
        <v>391</v>
      </c>
    </row>
    <row r="10" spans="1:7" ht="49.5" customHeight="1" x14ac:dyDescent="0.3">
      <c r="A10" s="28" t="s">
        <v>465</v>
      </c>
      <c r="B10" s="25" t="s">
        <v>466</v>
      </c>
      <c r="C10" s="47" t="s">
        <v>467</v>
      </c>
      <c r="D10" s="25" t="s">
        <v>468</v>
      </c>
      <c r="E10" s="25" t="s">
        <v>395</v>
      </c>
      <c r="F10" s="25" t="s">
        <v>469</v>
      </c>
      <c r="G10" s="25" t="s">
        <v>391</v>
      </c>
    </row>
    <row r="11" spans="1:7" ht="27.75" customHeight="1" x14ac:dyDescent="0.3">
      <c r="A11" s="37"/>
      <c r="B11" s="37"/>
      <c r="C11" s="37"/>
      <c r="D11" s="37"/>
      <c r="E11" s="37"/>
      <c r="F11" s="37"/>
      <c r="G11" s="37"/>
    </row>
    <row r="12" spans="1:7" ht="27.75" customHeight="1" x14ac:dyDescent="0.3">
      <c r="A12" s="37"/>
      <c r="B12" s="37"/>
      <c r="C12" s="37"/>
      <c r="D12" s="37"/>
      <c r="E12" s="37"/>
      <c r="F12" s="37"/>
      <c r="G12" s="37"/>
    </row>
    <row r="13" spans="1:7" ht="27.75" customHeight="1" x14ac:dyDescent="0.3">
      <c r="A13" s="37"/>
      <c r="B13" s="37"/>
      <c r="C13" s="37"/>
      <c r="D13" s="37"/>
      <c r="E13" s="37"/>
      <c r="F13" s="37"/>
      <c r="G13" s="37"/>
    </row>
    <row r="14" spans="1:7" ht="27.75" customHeight="1" x14ac:dyDescent="0.3">
      <c r="A14" s="37"/>
      <c r="B14" s="37"/>
      <c r="C14" s="37"/>
      <c r="D14" s="37"/>
      <c r="E14" s="37"/>
      <c r="F14" s="37"/>
      <c r="G14" s="37"/>
    </row>
    <row r="15" spans="1:7" ht="27.75" customHeight="1" x14ac:dyDescent="0.3">
      <c r="A15" s="37"/>
      <c r="B15" s="37"/>
      <c r="C15" s="37"/>
      <c r="D15" s="37"/>
      <c r="E15" s="37"/>
      <c r="F15" s="37"/>
      <c r="G15" s="37"/>
    </row>
    <row r="16" spans="1:7" ht="27.75" customHeight="1" x14ac:dyDescent="0.3">
      <c r="A16" s="37"/>
      <c r="B16" s="37"/>
      <c r="C16" s="37"/>
      <c r="D16" s="37"/>
      <c r="E16" s="37"/>
      <c r="F16" s="37"/>
      <c r="G16" s="37"/>
    </row>
    <row r="17" spans="1:7" ht="27.75" customHeight="1" x14ac:dyDescent="0.3">
      <c r="A17" s="37"/>
      <c r="B17" s="37"/>
      <c r="C17" s="37"/>
      <c r="D17" s="37"/>
      <c r="E17" s="37"/>
      <c r="F17" s="37"/>
      <c r="G17" s="37"/>
    </row>
    <row r="18" spans="1:7" ht="27.75" customHeight="1" x14ac:dyDescent="0.3">
      <c r="A18" s="37"/>
      <c r="B18" s="37"/>
      <c r="C18" s="37"/>
      <c r="D18" s="37"/>
      <c r="E18" s="37"/>
      <c r="F18" s="37"/>
      <c r="G18" s="37"/>
    </row>
    <row r="19" spans="1:7" ht="27.75" customHeight="1" x14ac:dyDescent="0.3">
      <c r="A19" s="37"/>
      <c r="B19" s="37"/>
      <c r="C19" s="37"/>
      <c r="D19" s="37"/>
      <c r="E19" s="37"/>
      <c r="F19" s="37"/>
      <c r="G19" s="37"/>
    </row>
    <row r="20" spans="1:7" ht="27.75" customHeight="1" x14ac:dyDescent="0.3">
      <c r="A20" s="37"/>
      <c r="B20" s="37"/>
      <c r="C20" s="37"/>
      <c r="D20" s="37"/>
      <c r="E20" s="37"/>
      <c r="F20" s="37"/>
      <c r="G20" s="37"/>
    </row>
    <row r="21" spans="1:7" ht="27.75" customHeight="1" x14ac:dyDescent="0.3">
      <c r="A21" s="37"/>
      <c r="B21" s="37"/>
      <c r="C21" s="37"/>
      <c r="D21" s="37"/>
      <c r="E21" s="37"/>
      <c r="F21" s="37"/>
      <c r="G21" s="37"/>
    </row>
    <row r="22" spans="1:7" ht="27.75" customHeight="1" x14ac:dyDescent="0.3">
      <c r="A22" s="37"/>
      <c r="B22" s="37"/>
      <c r="C22" s="37"/>
      <c r="D22" s="37"/>
      <c r="E22" s="37"/>
      <c r="F22" s="37"/>
      <c r="G22" s="37"/>
    </row>
    <row r="23" spans="1:7" ht="27.75" customHeight="1" x14ac:dyDescent="0.3">
      <c r="A23" s="37"/>
      <c r="B23" s="37"/>
      <c r="C23" s="37"/>
      <c r="D23" s="37"/>
      <c r="E23" s="37"/>
      <c r="F23" s="37"/>
      <c r="G23" s="37"/>
    </row>
    <row r="24" spans="1:7" ht="27.75" customHeight="1" x14ac:dyDescent="0.3">
      <c r="A24" s="37"/>
      <c r="B24" s="37"/>
      <c r="C24" s="37"/>
      <c r="D24" s="37"/>
      <c r="E24" s="37"/>
      <c r="F24" s="37"/>
      <c r="G24" s="37"/>
    </row>
    <row r="25" spans="1:7" ht="27.75" customHeight="1" x14ac:dyDescent="0.3">
      <c r="A25" s="37"/>
      <c r="B25" s="37"/>
      <c r="C25" s="37"/>
      <c r="D25" s="37"/>
      <c r="E25" s="37"/>
      <c r="F25" s="37"/>
      <c r="G25" s="37"/>
    </row>
    <row r="26" spans="1:7" ht="27.75" customHeight="1" x14ac:dyDescent="0.3">
      <c r="A26" s="37"/>
      <c r="B26" s="37"/>
      <c r="C26" s="37"/>
      <c r="D26" s="37"/>
      <c r="E26" s="37"/>
      <c r="F26" s="37"/>
      <c r="G26" s="37"/>
    </row>
    <row r="27" spans="1:7" ht="27.75" customHeight="1" x14ac:dyDescent="0.3">
      <c r="A27" s="37"/>
      <c r="B27" s="37"/>
      <c r="C27" s="37"/>
      <c r="D27" s="37"/>
      <c r="E27" s="37"/>
      <c r="F27" s="37"/>
      <c r="G27" s="37"/>
    </row>
    <row r="28" spans="1:7" ht="27.75" customHeight="1" x14ac:dyDescent="0.3">
      <c r="A28" s="37"/>
      <c r="B28" s="37"/>
      <c r="C28" s="37"/>
      <c r="D28" s="37"/>
      <c r="E28" s="37"/>
      <c r="F28" s="37"/>
      <c r="G28" s="37"/>
    </row>
    <row r="29" spans="1:7" ht="27.75" customHeight="1" x14ac:dyDescent="0.3">
      <c r="A29" s="37"/>
      <c r="B29" s="37"/>
      <c r="C29" s="37"/>
      <c r="D29" s="37"/>
      <c r="E29" s="37"/>
      <c r="F29" s="37"/>
      <c r="G29" s="37"/>
    </row>
    <row r="30" spans="1:7" ht="27.75" customHeight="1" x14ac:dyDescent="0.3">
      <c r="A30" s="37"/>
      <c r="B30" s="37"/>
      <c r="C30" s="37"/>
      <c r="D30" s="37"/>
      <c r="E30" s="37"/>
      <c r="F30" s="37"/>
      <c r="G30" s="37"/>
    </row>
    <row r="31" spans="1:7" ht="27.75" customHeight="1" x14ac:dyDescent="0.3">
      <c r="A31" s="37"/>
      <c r="B31" s="37"/>
      <c r="C31" s="37"/>
      <c r="D31" s="37"/>
      <c r="E31" s="37"/>
      <c r="F31" s="37"/>
      <c r="G31" s="37"/>
    </row>
    <row r="32" spans="1:7" ht="27.75" customHeight="1" x14ac:dyDescent="0.3">
      <c r="A32" s="37"/>
      <c r="B32" s="37"/>
      <c r="C32" s="37"/>
      <c r="D32" s="37"/>
      <c r="E32" s="37"/>
      <c r="F32" s="37"/>
      <c r="G32" s="37"/>
    </row>
    <row r="33" spans="1:7" ht="27.75" customHeight="1" x14ac:dyDescent="0.3">
      <c r="A33" s="37"/>
      <c r="B33" s="37"/>
      <c r="C33" s="37"/>
      <c r="D33" s="37"/>
      <c r="E33" s="37"/>
      <c r="F33" s="37"/>
      <c r="G33" s="37"/>
    </row>
    <row r="34" spans="1:7" ht="27.75" customHeight="1" x14ac:dyDescent="0.3">
      <c r="A34" s="37"/>
      <c r="B34" s="37"/>
      <c r="C34" s="37"/>
      <c r="D34" s="37"/>
      <c r="E34" s="37"/>
      <c r="F34" s="37"/>
      <c r="G34" s="37"/>
    </row>
    <row r="35" spans="1:7" ht="27.75" customHeight="1" x14ac:dyDescent="0.3">
      <c r="A35" s="37"/>
      <c r="B35" s="37"/>
      <c r="C35" s="37"/>
      <c r="D35" s="37"/>
      <c r="E35" s="37"/>
      <c r="F35" s="37"/>
      <c r="G35" s="37"/>
    </row>
    <row r="36" spans="1:7" ht="27.75" customHeight="1" x14ac:dyDescent="0.3">
      <c r="A36" s="37"/>
      <c r="B36" s="37"/>
      <c r="C36" s="37"/>
      <c r="D36" s="37"/>
      <c r="E36" s="37"/>
      <c r="F36" s="37"/>
      <c r="G36" s="37"/>
    </row>
    <row r="37" spans="1:7" ht="27.75" customHeight="1" x14ac:dyDescent="0.3">
      <c r="A37" s="37"/>
      <c r="B37" s="37"/>
      <c r="C37" s="37"/>
      <c r="D37" s="37"/>
      <c r="E37" s="37"/>
      <c r="F37" s="37"/>
      <c r="G37" s="37"/>
    </row>
    <row r="38" spans="1:7" ht="27.75" customHeight="1" x14ac:dyDescent="0.3">
      <c r="A38" s="37"/>
      <c r="B38" s="37"/>
      <c r="C38" s="37"/>
      <c r="D38" s="37"/>
      <c r="E38" s="37"/>
      <c r="F38" s="37"/>
      <c r="G38" s="37"/>
    </row>
    <row r="39" spans="1:7" ht="27.75" customHeight="1" x14ac:dyDescent="0.3">
      <c r="A39" s="37"/>
      <c r="B39" s="37"/>
      <c r="C39" s="37"/>
      <c r="D39" s="37"/>
      <c r="E39" s="37"/>
      <c r="F39" s="37"/>
      <c r="G39" s="37"/>
    </row>
    <row r="40" spans="1:7" ht="27.75" customHeight="1" x14ac:dyDescent="0.3">
      <c r="A40" s="37"/>
      <c r="B40" s="37"/>
      <c r="C40" s="37"/>
      <c r="D40" s="37"/>
      <c r="E40" s="37"/>
      <c r="F40" s="37"/>
      <c r="G40" s="37"/>
    </row>
  </sheetData>
  <dataValidations count="1">
    <dataValidation type="list" allowBlank="1" sqref="G5:G40" xr:uid="{00000000-0002-0000-0500-000000000000}">
      <formula1>"Por validar,Validada,Descartada"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showGridLines="0" zoomScaleNormal="100" workbookViewId="0">
      <pane ySplit="4" topLeftCell="A5" activePane="bottomLeft" state="frozen"/>
      <selection pane="bottomLeft"/>
    </sheetView>
  </sheetViews>
  <sheetFormatPr baseColWidth="10" defaultColWidth="8.6640625" defaultRowHeight="14.4" x14ac:dyDescent="0.3"/>
  <cols>
    <col min="1" max="1" width="26" customWidth="1"/>
    <col min="2" max="3" width="62" customWidth="1"/>
  </cols>
  <sheetData>
    <row r="1" spans="1:3" ht="21" customHeight="1" x14ac:dyDescent="0.4">
      <c r="A1" s="1" t="s">
        <v>470</v>
      </c>
    </row>
    <row r="2" spans="1:3" x14ac:dyDescent="0.3">
      <c r="A2" s="2" t="s">
        <v>471</v>
      </c>
    </row>
    <row r="4" spans="1:3" ht="33.75" customHeight="1" x14ac:dyDescent="0.3">
      <c r="A4" s="11" t="s">
        <v>472</v>
      </c>
      <c r="B4" s="11" t="s">
        <v>473</v>
      </c>
      <c r="C4" s="11" t="s">
        <v>474</v>
      </c>
    </row>
    <row r="5" spans="1:3" ht="31.5" customHeight="1" x14ac:dyDescent="0.3">
      <c r="A5" s="48" t="s">
        <v>475</v>
      </c>
      <c r="B5" s="13" t="s">
        <v>476</v>
      </c>
      <c r="C5" s="49" t="s">
        <v>477</v>
      </c>
    </row>
    <row r="6" spans="1:3" ht="31.5" customHeight="1" x14ac:dyDescent="0.3">
      <c r="A6" s="48" t="s">
        <v>478</v>
      </c>
      <c r="B6" s="13" t="s">
        <v>479</v>
      </c>
      <c r="C6" s="49" t="s">
        <v>480</v>
      </c>
    </row>
    <row r="7" spans="1:3" ht="31.5" customHeight="1" x14ac:dyDescent="0.3">
      <c r="A7" s="48" t="s">
        <v>481</v>
      </c>
      <c r="B7" s="13" t="s">
        <v>482</v>
      </c>
      <c r="C7" s="49" t="s">
        <v>483</v>
      </c>
    </row>
    <row r="8" spans="1:3" ht="31.5" customHeight="1" x14ac:dyDescent="0.3">
      <c r="A8" s="48" t="s">
        <v>484</v>
      </c>
      <c r="B8" s="13" t="s">
        <v>485</v>
      </c>
      <c r="C8" s="49" t="s">
        <v>486</v>
      </c>
    </row>
    <row r="9" spans="1:3" ht="31.5" customHeight="1" x14ac:dyDescent="0.3">
      <c r="A9" s="48" t="s">
        <v>487</v>
      </c>
      <c r="B9" s="13" t="s">
        <v>488</v>
      </c>
      <c r="C9" s="49" t="s">
        <v>489</v>
      </c>
    </row>
    <row r="10" spans="1:3" ht="31.5" customHeight="1" x14ac:dyDescent="0.3">
      <c r="A10" s="48" t="s">
        <v>490</v>
      </c>
      <c r="B10" s="13" t="s">
        <v>491</v>
      </c>
      <c r="C10" s="49" t="s">
        <v>492</v>
      </c>
    </row>
    <row r="11" spans="1:3" ht="31.5" customHeight="1" x14ac:dyDescent="0.3">
      <c r="A11" s="48" t="s">
        <v>493</v>
      </c>
      <c r="B11" s="13" t="s">
        <v>494</v>
      </c>
      <c r="C11" s="49" t="s">
        <v>495</v>
      </c>
    </row>
    <row r="12" spans="1:3" ht="31.5" customHeight="1" x14ac:dyDescent="0.3">
      <c r="A12" s="48" t="s">
        <v>496</v>
      </c>
      <c r="B12" s="13" t="s">
        <v>497</v>
      </c>
      <c r="C12" s="49" t="s">
        <v>498</v>
      </c>
    </row>
    <row r="13" spans="1:3" ht="31.5" customHeight="1" x14ac:dyDescent="0.3">
      <c r="A13" s="48" t="s">
        <v>499</v>
      </c>
      <c r="B13" s="13" t="s">
        <v>500</v>
      </c>
      <c r="C13" s="49" t="s">
        <v>501</v>
      </c>
    </row>
    <row r="14" spans="1:3" ht="31.5" customHeight="1" x14ac:dyDescent="0.3">
      <c r="A14" s="48" t="s">
        <v>502</v>
      </c>
      <c r="B14" s="13" t="s">
        <v>503</v>
      </c>
      <c r="C14" s="49" t="s">
        <v>504</v>
      </c>
    </row>
    <row r="15" spans="1:3" ht="31.5" customHeight="1" x14ac:dyDescent="0.3">
      <c r="A15" s="48" t="s">
        <v>505</v>
      </c>
      <c r="B15" s="13" t="s">
        <v>506</v>
      </c>
      <c r="C15" s="49" t="s">
        <v>507</v>
      </c>
    </row>
    <row r="16" spans="1:3" ht="31.5" customHeight="1" x14ac:dyDescent="0.3">
      <c r="A16" s="48" t="s">
        <v>508</v>
      </c>
      <c r="B16" s="13" t="s">
        <v>509</v>
      </c>
      <c r="C16" s="49" t="s">
        <v>510</v>
      </c>
    </row>
    <row r="17" spans="1:3" ht="31.5" customHeight="1" x14ac:dyDescent="0.3">
      <c r="A17" s="48" t="s">
        <v>511</v>
      </c>
      <c r="B17" s="13" t="s">
        <v>512</v>
      </c>
      <c r="C17" s="49" t="s">
        <v>513</v>
      </c>
    </row>
    <row r="18" spans="1:3" ht="31.5" customHeight="1" x14ac:dyDescent="0.3">
      <c r="A18" s="48" t="s">
        <v>514</v>
      </c>
      <c r="B18" s="13" t="s">
        <v>515</v>
      </c>
      <c r="C18" s="49" t="s">
        <v>516</v>
      </c>
    </row>
    <row r="19" spans="1:3" ht="31.5" customHeight="1" x14ac:dyDescent="0.3">
      <c r="A19" s="48" t="s">
        <v>517</v>
      </c>
      <c r="B19" s="13" t="s">
        <v>518</v>
      </c>
      <c r="C19" s="49" t="s">
        <v>519</v>
      </c>
    </row>
    <row r="20" spans="1:3" ht="31.5" customHeight="1" x14ac:dyDescent="0.3">
      <c r="A20" s="48" t="s">
        <v>520</v>
      </c>
      <c r="B20" s="13" t="s">
        <v>521</v>
      </c>
      <c r="C20" s="49" t="s">
        <v>522</v>
      </c>
    </row>
    <row r="21" spans="1:3" ht="31.5" customHeight="1" x14ac:dyDescent="0.3">
      <c r="A21" s="48" t="s">
        <v>523</v>
      </c>
      <c r="B21" s="13" t="s">
        <v>524</v>
      </c>
      <c r="C21" s="49" t="s">
        <v>525</v>
      </c>
    </row>
    <row r="22" spans="1:3" ht="31.5" customHeight="1" x14ac:dyDescent="0.3">
      <c r="A22" s="48" t="s">
        <v>526</v>
      </c>
      <c r="B22" s="13" t="s">
        <v>527</v>
      </c>
      <c r="C22" s="49" t="s">
        <v>528</v>
      </c>
    </row>
    <row r="23" spans="1:3" ht="31.5" customHeight="1" x14ac:dyDescent="0.3">
      <c r="A23" s="48" t="s">
        <v>529</v>
      </c>
      <c r="B23" s="13" t="s">
        <v>530</v>
      </c>
      <c r="C23" s="49" t="s">
        <v>531</v>
      </c>
    </row>
    <row r="24" spans="1:3" ht="31.5" customHeight="1" x14ac:dyDescent="0.3">
      <c r="A24" s="48" t="s">
        <v>532</v>
      </c>
      <c r="B24" s="13" t="s">
        <v>533</v>
      </c>
      <c r="C24" s="49" t="s">
        <v>534</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0"/>
  <sheetViews>
    <sheetView showGridLines="0" zoomScaleNormal="100" workbookViewId="0">
      <pane ySplit="4" topLeftCell="A6" activePane="bottomLeft" state="frozen"/>
      <selection pane="bottomLeft"/>
    </sheetView>
  </sheetViews>
  <sheetFormatPr baseColWidth="10" defaultColWidth="8.6640625" defaultRowHeight="14.4" x14ac:dyDescent="0.3"/>
  <cols>
    <col min="1" max="1" width="9" customWidth="1"/>
    <col min="2" max="2" width="20" customWidth="1"/>
    <col min="3" max="3" width="56" customWidth="1"/>
    <col min="4" max="4" width="48" customWidth="1"/>
    <col min="5" max="5" width="20" customWidth="1"/>
    <col min="6" max="7" width="14" customWidth="1"/>
  </cols>
  <sheetData>
    <row r="1" spans="1:7" ht="21" customHeight="1" x14ac:dyDescent="0.4">
      <c r="A1" s="1" t="s">
        <v>535</v>
      </c>
    </row>
    <row r="2" spans="1:7" x14ac:dyDescent="0.3">
      <c r="A2" s="2" t="s">
        <v>536</v>
      </c>
    </row>
    <row r="4" spans="1:7" ht="33.75" customHeight="1" x14ac:dyDescent="0.3">
      <c r="A4" s="11" t="s">
        <v>2</v>
      </c>
      <c r="B4" s="11" t="s">
        <v>336</v>
      </c>
      <c r="C4" s="11" t="s">
        <v>537</v>
      </c>
      <c r="D4" s="11" t="s">
        <v>538</v>
      </c>
      <c r="E4" s="11" t="s">
        <v>539</v>
      </c>
      <c r="F4" s="11" t="s">
        <v>540</v>
      </c>
      <c r="G4" s="11" t="s">
        <v>342</v>
      </c>
    </row>
    <row r="5" spans="1:7" ht="43.5" customHeight="1" x14ac:dyDescent="0.3">
      <c r="A5" s="28" t="s">
        <v>541</v>
      </c>
      <c r="B5" s="25" t="s">
        <v>542</v>
      </c>
      <c r="C5" s="25" t="s">
        <v>543</v>
      </c>
      <c r="D5" s="25" t="s">
        <v>544</v>
      </c>
      <c r="E5" s="25" t="s">
        <v>440</v>
      </c>
      <c r="F5" s="50"/>
      <c r="G5" s="25" t="s">
        <v>545</v>
      </c>
    </row>
    <row r="6" spans="1:7" ht="43.5" customHeight="1" x14ac:dyDescent="0.3">
      <c r="A6" s="28" t="s">
        <v>546</v>
      </c>
      <c r="B6" s="25" t="s">
        <v>547</v>
      </c>
      <c r="C6" s="25" t="s">
        <v>548</v>
      </c>
      <c r="D6" s="25" t="s">
        <v>549</v>
      </c>
      <c r="E6" s="25" t="s">
        <v>550</v>
      </c>
      <c r="F6" s="50"/>
      <c r="G6" s="25" t="s">
        <v>545</v>
      </c>
    </row>
    <row r="7" spans="1:7" ht="43.5" customHeight="1" x14ac:dyDescent="0.3">
      <c r="A7" s="28" t="s">
        <v>551</v>
      </c>
      <c r="B7" s="25" t="s">
        <v>552</v>
      </c>
      <c r="C7" s="25" t="s">
        <v>553</v>
      </c>
      <c r="D7" s="25" t="s">
        <v>554</v>
      </c>
      <c r="E7" s="25" t="s">
        <v>440</v>
      </c>
      <c r="F7" s="50"/>
      <c r="G7" s="25" t="s">
        <v>545</v>
      </c>
    </row>
    <row r="8" spans="1:7" ht="43.5" customHeight="1" x14ac:dyDescent="0.3">
      <c r="A8" s="33" t="s">
        <v>555</v>
      </c>
      <c r="B8" s="30" t="s">
        <v>556</v>
      </c>
      <c r="C8" s="30" t="s">
        <v>557</v>
      </c>
      <c r="D8" s="30" t="s">
        <v>558</v>
      </c>
      <c r="E8" s="30" t="s">
        <v>559</v>
      </c>
      <c r="F8" s="51"/>
      <c r="G8" s="30" t="s">
        <v>545</v>
      </c>
    </row>
    <row r="9" spans="1:7" ht="43.5" customHeight="1" x14ac:dyDescent="0.3">
      <c r="A9" s="33" t="s">
        <v>560</v>
      </c>
      <c r="B9" s="30" t="s">
        <v>556</v>
      </c>
      <c r="C9" s="30" t="s">
        <v>561</v>
      </c>
      <c r="D9" s="30" t="s">
        <v>562</v>
      </c>
      <c r="E9" s="30" t="s">
        <v>563</v>
      </c>
      <c r="F9" s="51"/>
      <c r="G9" s="30" t="s">
        <v>545</v>
      </c>
    </row>
    <row r="10" spans="1:7" ht="43.5" customHeight="1" x14ac:dyDescent="0.3">
      <c r="A10" s="28" t="s">
        <v>564</v>
      </c>
      <c r="B10" s="25" t="s">
        <v>552</v>
      </c>
      <c r="C10" s="25" t="s">
        <v>565</v>
      </c>
      <c r="D10" s="25" t="s">
        <v>566</v>
      </c>
      <c r="E10" s="25" t="s">
        <v>567</v>
      </c>
      <c r="F10" s="50"/>
      <c r="G10" s="25" t="s">
        <v>545</v>
      </c>
    </row>
    <row r="11" spans="1:7" ht="43.5" customHeight="1" x14ac:dyDescent="0.3">
      <c r="A11" s="33" t="s">
        <v>568</v>
      </c>
      <c r="B11" s="30" t="s">
        <v>556</v>
      </c>
      <c r="C11" s="30" t="s">
        <v>569</v>
      </c>
      <c r="D11" s="30" t="s">
        <v>570</v>
      </c>
      <c r="E11" s="30" t="s">
        <v>550</v>
      </c>
      <c r="F11" s="51"/>
      <c r="G11" s="30" t="s">
        <v>545</v>
      </c>
    </row>
    <row r="12" spans="1:7" ht="43.5" customHeight="1" x14ac:dyDescent="0.3">
      <c r="A12" s="28" t="s">
        <v>571</v>
      </c>
      <c r="B12" s="25" t="s">
        <v>542</v>
      </c>
      <c r="C12" s="25" t="s">
        <v>572</v>
      </c>
      <c r="D12" s="25" t="s">
        <v>573</v>
      </c>
      <c r="E12" s="25" t="s">
        <v>574</v>
      </c>
      <c r="F12" s="50"/>
      <c r="G12" s="25" t="s">
        <v>545</v>
      </c>
    </row>
    <row r="13" spans="1:7" ht="25.5" customHeight="1" x14ac:dyDescent="0.3">
      <c r="A13" s="37"/>
      <c r="B13" s="37"/>
      <c r="C13" s="37"/>
      <c r="D13" s="37"/>
      <c r="E13" s="37"/>
      <c r="F13" s="52"/>
      <c r="G13" s="37"/>
    </row>
    <row r="14" spans="1:7" ht="25.5" customHeight="1" x14ac:dyDescent="0.3">
      <c r="A14" s="37"/>
      <c r="B14" s="37"/>
      <c r="C14" s="37"/>
      <c r="D14" s="37"/>
      <c r="E14" s="37"/>
      <c r="F14" s="52"/>
      <c r="G14" s="37"/>
    </row>
    <row r="15" spans="1:7" ht="25.5" customHeight="1" x14ac:dyDescent="0.3">
      <c r="A15" s="37"/>
      <c r="B15" s="37"/>
      <c r="C15" s="37"/>
      <c r="D15" s="37"/>
      <c r="E15" s="37"/>
      <c r="F15" s="52"/>
      <c r="G15" s="37"/>
    </row>
    <row r="16" spans="1:7" ht="25.5" customHeight="1" x14ac:dyDescent="0.3">
      <c r="A16" s="37"/>
      <c r="B16" s="37"/>
      <c r="C16" s="37"/>
      <c r="D16" s="37"/>
      <c r="E16" s="37"/>
      <c r="F16" s="52"/>
      <c r="G16" s="37"/>
    </row>
    <row r="17" spans="1:7" ht="25.5" customHeight="1" x14ac:dyDescent="0.3">
      <c r="A17" s="37"/>
      <c r="B17" s="37"/>
      <c r="C17" s="37"/>
      <c r="D17" s="37"/>
      <c r="E17" s="37"/>
      <c r="F17" s="52"/>
      <c r="G17" s="37"/>
    </row>
    <row r="18" spans="1:7" ht="25.5" customHeight="1" x14ac:dyDescent="0.3">
      <c r="A18" s="37"/>
      <c r="B18" s="37"/>
      <c r="C18" s="37"/>
      <c r="D18" s="37"/>
      <c r="E18" s="37"/>
      <c r="F18" s="52"/>
      <c r="G18" s="37"/>
    </row>
    <row r="19" spans="1:7" ht="25.5" customHeight="1" x14ac:dyDescent="0.3">
      <c r="A19" s="37"/>
      <c r="B19" s="37"/>
      <c r="C19" s="37"/>
      <c r="D19" s="37"/>
      <c r="E19" s="37"/>
      <c r="F19" s="52"/>
      <c r="G19" s="37"/>
    </row>
    <row r="20" spans="1:7" ht="25.5" customHeight="1" x14ac:dyDescent="0.3">
      <c r="A20" s="37"/>
      <c r="B20" s="37"/>
      <c r="C20" s="37"/>
      <c r="D20" s="37"/>
      <c r="E20" s="37"/>
      <c r="F20" s="52"/>
      <c r="G20" s="37"/>
    </row>
    <row r="21" spans="1:7" ht="25.5" customHeight="1" x14ac:dyDescent="0.3">
      <c r="A21" s="37"/>
      <c r="B21" s="37"/>
      <c r="C21" s="37"/>
      <c r="D21" s="37"/>
      <c r="E21" s="37"/>
      <c r="F21" s="52"/>
      <c r="G21" s="37"/>
    </row>
    <row r="22" spans="1:7" ht="25.5" customHeight="1" x14ac:dyDescent="0.3">
      <c r="A22" s="37"/>
      <c r="B22" s="37"/>
      <c r="C22" s="37"/>
      <c r="D22" s="37"/>
      <c r="E22" s="37"/>
      <c r="F22" s="52"/>
      <c r="G22" s="37"/>
    </row>
    <row r="23" spans="1:7" ht="25.5" customHeight="1" x14ac:dyDescent="0.3">
      <c r="A23" s="37"/>
      <c r="B23" s="37"/>
      <c r="C23" s="37"/>
      <c r="D23" s="37"/>
      <c r="E23" s="37"/>
      <c r="F23" s="52"/>
      <c r="G23" s="37"/>
    </row>
    <row r="24" spans="1:7" ht="25.5" customHeight="1" x14ac:dyDescent="0.3">
      <c r="A24" s="37"/>
      <c r="B24" s="37"/>
      <c r="C24" s="37"/>
      <c r="D24" s="37"/>
      <c r="E24" s="37"/>
      <c r="F24" s="52"/>
      <c r="G24" s="37"/>
    </row>
    <row r="25" spans="1:7" ht="25.5" customHeight="1" x14ac:dyDescent="0.3">
      <c r="A25" s="37"/>
      <c r="B25" s="37"/>
      <c r="C25" s="37"/>
      <c r="D25" s="37"/>
      <c r="E25" s="37"/>
      <c r="F25" s="52"/>
      <c r="G25" s="37"/>
    </row>
    <row r="26" spans="1:7" ht="25.5" customHeight="1" x14ac:dyDescent="0.3">
      <c r="A26" s="37"/>
      <c r="B26" s="37"/>
      <c r="C26" s="37"/>
      <c r="D26" s="37"/>
      <c r="E26" s="37"/>
      <c r="F26" s="52"/>
      <c r="G26" s="37"/>
    </row>
    <row r="27" spans="1:7" ht="25.5" customHeight="1" x14ac:dyDescent="0.3">
      <c r="A27" s="37"/>
      <c r="B27" s="37"/>
      <c r="C27" s="37"/>
      <c r="D27" s="37"/>
      <c r="E27" s="37"/>
      <c r="F27" s="52"/>
      <c r="G27" s="37"/>
    </row>
    <row r="28" spans="1:7" ht="25.5" customHeight="1" x14ac:dyDescent="0.3">
      <c r="A28" s="37"/>
      <c r="B28" s="37"/>
      <c r="C28" s="37"/>
      <c r="D28" s="37"/>
      <c r="E28" s="37"/>
      <c r="F28" s="52"/>
      <c r="G28" s="37"/>
    </row>
    <row r="29" spans="1:7" ht="25.5" customHeight="1" x14ac:dyDescent="0.3">
      <c r="A29" s="37"/>
      <c r="B29" s="37"/>
      <c r="C29" s="37"/>
      <c r="D29" s="37"/>
      <c r="E29" s="37"/>
      <c r="F29" s="52"/>
      <c r="G29" s="37"/>
    </row>
    <row r="30" spans="1:7" ht="25.5" customHeight="1" x14ac:dyDescent="0.3">
      <c r="A30" s="37"/>
      <c r="B30" s="37"/>
      <c r="C30" s="37"/>
      <c r="D30" s="37"/>
      <c r="E30" s="37"/>
      <c r="F30" s="52"/>
      <c r="G30" s="37"/>
    </row>
    <row r="31" spans="1:7" ht="25.5" customHeight="1" x14ac:dyDescent="0.3">
      <c r="A31" s="37"/>
      <c r="B31" s="37"/>
      <c r="C31" s="37"/>
      <c r="D31" s="37"/>
      <c r="E31" s="37"/>
      <c r="F31" s="52"/>
      <c r="G31" s="37"/>
    </row>
    <row r="32" spans="1:7" ht="25.5" customHeight="1" x14ac:dyDescent="0.3">
      <c r="A32" s="37"/>
      <c r="B32" s="37"/>
      <c r="C32" s="37"/>
      <c r="D32" s="37"/>
      <c r="E32" s="37"/>
      <c r="F32" s="52"/>
      <c r="G32" s="37"/>
    </row>
    <row r="33" spans="1:7" ht="25.5" customHeight="1" x14ac:dyDescent="0.3">
      <c r="A33" s="37"/>
      <c r="B33" s="37"/>
      <c r="C33" s="37"/>
      <c r="D33" s="37"/>
      <c r="E33" s="37"/>
      <c r="F33" s="52"/>
      <c r="G33" s="37"/>
    </row>
    <row r="34" spans="1:7" ht="25.5" customHeight="1" x14ac:dyDescent="0.3">
      <c r="A34" s="37"/>
      <c r="B34" s="37"/>
      <c r="C34" s="37"/>
      <c r="D34" s="37"/>
      <c r="E34" s="37"/>
      <c r="F34" s="52"/>
      <c r="G34" s="37"/>
    </row>
    <row r="35" spans="1:7" ht="25.5" customHeight="1" x14ac:dyDescent="0.3">
      <c r="A35" s="37"/>
      <c r="B35" s="37"/>
      <c r="C35" s="37"/>
      <c r="D35" s="37"/>
      <c r="E35" s="37"/>
      <c r="F35" s="52"/>
      <c r="G35" s="37"/>
    </row>
    <row r="36" spans="1:7" ht="25.5" customHeight="1" x14ac:dyDescent="0.3">
      <c r="A36" s="37"/>
      <c r="B36" s="37"/>
      <c r="C36" s="37"/>
      <c r="D36" s="37"/>
      <c r="E36" s="37"/>
      <c r="F36" s="52"/>
      <c r="G36" s="37"/>
    </row>
    <row r="37" spans="1:7" ht="25.5" customHeight="1" x14ac:dyDescent="0.3">
      <c r="A37" s="37"/>
      <c r="B37" s="37"/>
      <c r="C37" s="37"/>
      <c r="D37" s="37"/>
      <c r="E37" s="37"/>
      <c r="F37" s="52"/>
      <c r="G37" s="37"/>
    </row>
    <row r="38" spans="1:7" ht="25.5" customHeight="1" x14ac:dyDescent="0.3">
      <c r="A38" s="37"/>
      <c r="B38" s="37"/>
      <c r="C38" s="37"/>
      <c r="D38" s="37"/>
      <c r="E38" s="37"/>
      <c r="F38" s="52"/>
      <c r="G38" s="37"/>
    </row>
    <row r="39" spans="1:7" ht="25.5" customHeight="1" x14ac:dyDescent="0.3">
      <c r="A39" s="37"/>
      <c r="B39" s="37"/>
      <c r="C39" s="37"/>
      <c r="D39" s="37"/>
      <c r="E39" s="37"/>
      <c r="F39" s="52"/>
      <c r="G39" s="37"/>
    </row>
    <row r="40" spans="1:7" ht="25.5" customHeight="1" x14ac:dyDescent="0.3">
      <c r="A40" s="37"/>
      <c r="B40" s="37"/>
      <c r="C40" s="37"/>
      <c r="D40" s="37"/>
      <c r="E40" s="37"/>
      <c r="F40" s="52"/>
      <c r="G40" s="37"/>
    </row>
  </sheetData>
  <dataValidations count="2">
    <dataValidation type="list" allowBlank="1" sqref="B5:B40" xr:uid="{00000000-0002-0000-0700-000000000000}">
      <formula1>"Supuesto,Pregunta abierta,Riesgo,Dato requerido,Decision pendiente"</formula1>
      <formula2>0</formula2>
    </dataValidation>
    <dataValidation type="list" allowBlank="1" sqref="G5:G40" xr:uid="{00000000-0002-0000-0700-000001000000}">
      <formula1>"Abierto,En curso,Cerrado"</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Instrucciones</vt:lpstr>
      <vt:lpstr>Guion Entrevista</vt:lpstr>
      <vt:lpstr>Ejemplo Trazabilidad</vt:lpstr>
      <vt:lpstr>Catalogo Requisitos</vt:lpstr>
      <vt:lpstr>Tablero</vt:lpstr>
      <vt:lpstr>Reglas y Excepciones</vt:lpstr>
      <vt:lpstr>Glosario</vt:lpstr>
      <vt:lpstr>Pendientes y Riesgos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Pablo Avendaño Duque</cp:lastModifiedBy>
  <cp:revision>0</cp:revision>
  <dcterms:created xsi:type="dcterms:W3CDTF">2026-08-03T23:20:50Z</dcterms:created>
  <dcterms:modified xsi:type="dcterms:W3CDTF">2026-08-05T04:23:47Z</dcterms:modified>
  <dc:language>en-US</dc:language>
</cp:coreProperties>
</file>