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onet-my.sharepoint.com/personal/juan_avendano1956_uco_net_co/Documents/FlorLogic/Documentacion/Levantamiento de requisitos/Entrevistas/Formatos de entrevista/"/>
    </mc:Choice>
  </mc:AlternateContent>
  <xr:revisionPtr revIDLastSave="267" documentId="8_{D362ED84-ED2B-4C04-B384-8D67D7343C49}" xr6:coauthVersionLast="47" xr6:coauthVersionMax="47" xr10:uidLastSave="{0843A22D-EAA9-43DE-B9CD-D7C1460CF158}"/>
  <bookViews>
    <workbookView xWindow="-28920" yWindow="-120" windowWidth="29040" windowHeight="15720" activeTab="1" xr2:uid="{1F3E0DFB-D01C-43D0-A1FD-9AC87A46CC46}"/>
  </bookViews>
  <sheets>
    <sheet name="1. Trade-Off" sheetId="1" r:id="rId1"/>
    <sheet name="2. Mapa de Empatía" sheetId="2" r:id="rId2"/>
    <sheet name="Hoj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2" l="1"/>
  <c r="D17" i="2"/>
  <c r="B17" i="2"/>
  <c r="E13" i="2"/>
  <c r="E3" i="2"/>
  <c r="E4" i="2"/>
  <c r="E15" i="2"/>
  <c r="E6" i="2"/>
  <c r="E10" i="2"/>
  <c r="E12" i="2"/>
  <c r="E8" i="2"/>
  <c r="E7" i="2"/>
  <c r="E14" i="2"/>
  <c r="E16" i="2"/>
  <c r="E9" i="2"/>
  <c r="E5" i="2"/>
  <c r="E11" i="2"/>
  <c r="F9" i="2" l="1"/>
  <c r="F3" i="2"/>
  <c r="F14" i="2"/>
  <c r="E17" i="2"/>
  <c r="F16" i="2" l="1"/>
  <c r="F11" i="2"/>
  <c r="F13" i="2"/>
  <c r="F12" i="2"/>
  <c r="F7" i="2"/>
  <c r="F4" i="2"/>
  <c r="F17" i="2" s="1"/>
  <c r="F5" i="2"/>
  <c r="F15" i="2"/>
  <c r="F6" i="2"/>
  <c r="F8" i="2"/>
  <c r="F10" i="2"/>
</calcChain>
</file>

<file path=xl/sharedStrings.xml><?xml version="1.0" encoding="utf-8"?>
<sst xmlns="http://schemas.openxmlformats.org/spreadsheetml/2006/main" count="58" uniqueCount="27">
  <si>
    <t>Atributos de Calidad</t>
  </si>
  <si>
    <t>Prioridad</t>
  </si>
  <si>
    <t>&lt;----Prioridad----&gt;</t>
  </si>
  <si>
    <t>Experiencia de Usuario</t>
  </si>
  <si>
    <t>Seguridad</t>
  </si>
  <si>
    <t>Confiabilidad</t>
  </si>
  <si>
    <t>Disponibilidad</t>
  </si>
  <si>
    <t>Accesibilidad</t>
  </si>
  <si>
    <t>Rendimiento</t>
  </si>
  <si>
    <t>Capacidad para ser Administrado</t>
  </si>
  <si>
    <t>Capacidad para ser Soportado</t>
  </si>
  <si>
    <t>Capacidad</t>
  </si>
  <si>
    <t>Trazabilidad</t>
  </si>
  <si>
    <t>Portabilidad</t>
  </si>
  <si>
    <t>Escalabilidad</t>
  </si>
  <si>
    <t>Interoperatividad</t>
  </si>
  <si>
    <t>Seguridad de funcionamiento</t>
  </si>
  <si>
    <t>Atributos de calidad</t>
  </si>
  <si>
    <t>&lt;---Actores----&gt;</t>
  </si>
  <si>
    <t>Puntuación total</t>
  </si>
  <si>
    <t>Porcentage</t>
  </si>
  <si>
    <t>Supervisor de Campo</t>
  </si>
  <si>
    <t>Administrador del sistema</t>
  </si>
  <si>
    <t>Atributos Propuestos por Arquitectos</t>
  </si>
  <si>
    <t>Atributos propuestos por usuario</t>
  </si>
  <si>
    <t>Administrador de producción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</si>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</sst>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10" fontId="0" fillId="2" borderId="1" xfId="0" applyNumberFormat="1" applyFill="1" applyBorder="1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Fill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4" borderId="1" xfId="0" applyFill="1" applyBorder="1"/>
    <xf numFmtId="10" fontId="0" fillId="4" borderId="1" xfId="0" applyNumberFormat="1" applyFill="1" applyBorder="1"/>
    <xf numFmtId="0" fontId="0" fillId="0" borderId="0" xfId="0" applyBorder="1"/>
    <xf numFmtId="0" fontId="3" fillId="0" borderId="0" xfId="1" applyFont="1" applyBorder="1"/>
    <xf numFmtId="10" fontId="0" fillId="0" borderId="0" xfId="0" applyNumberForma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'2. Mapa de Empatía'!$B$1:$B$2</c:f>
              <c:strCache>
                <c:ptCount val="2"/>
                <c:pt idx="0">
                  <c:v>&lt;---Actores----&gt;</c:v>
                </c:pt>
                <c:pt idx="1">
                  <c:v>Supervisor de Campo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 Mapa de Empatía'!$A$3:$A$16</c:f>
              <c:strCache>
                <c:ptCount val="14"/>
                <c:pt idx="0">
                  <c:v>Confiabilidad</c:v>
                </c:pt>
                <c:pt idx="1">
                  <c:v>Disponibilidad</c:v>
                </c:pt>
                <c:pt idx="2">
                  <c:v>Seguridad de funcionamiento</c:v>
                </c:pt>
                <c:pt idx="3">
                  <c:v>Rendimiento</c:v>
                </c:pt>
                <c:pt idx="4">
                  <c:v>Trazabilidad</c:v>
                </c:pt>
                <c:pt idx="5">
                  <c:v>Capacidad</c:v>
                </c:pt>
                <c:pt idx="6">
                  <c:v>Interoperatividad</c:v>
                </c:pt>
                <c:pt idx="7">
                  <c:v>Capacidad para ser Administrado</c:v>
                </c:pt>
                <c:pt idx="8">
                  <c:v>Experiencia de Usuario</c:v>
                </c:pt>
                <c:pt idx="9">
                  <c:v>Capacidad para ser Soportado</c:v>
                </c:pt>
                <c:pt idx="10">
                  <c:v>Seguridad</c:v>
                </c:pt>
                <c:pt idx="11">
                  <c:v>Portabilidad</c:v>
                </c:pt>
                <c:pt idx="12">
                  <c:v>Accesibilidad</c:v>
                </c:pt>
                <c:pt idx="13">
                  <c:v>Escalabilidad</c:v>
                </c:pt>
              </c:strCache>
            </c:strRef>
          </c:cat>
          <c:val>
            <c:numRef>
              <c:f>'2. Mapa de Empatía'!$B$3:$B$16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3</c:v>
                </c:pt>
                <c:pt idx="4">
                  <c:v>9</c:v>
                </c:pt>
                <c:pt idx="5">
                  <c:v>11</c:v>
                </c:pt>
                <c:pt idx="6">
                  <c:v>5</c:v>
                </c:pt>
                <c:pt idx="7">
                  <c:v>14</c:v>
                </c:pt>
                <c:pt idx="8">
                  <c:v>6</c:v>
                </c:pt>
                <c:pt idx="9">
                  <c:v>12</c:v>
                </c:pt>
                <c:pt idx="10">
                  <c:v>10</c:v>
                </c:pt>
                <c:pt idx="11">
                  <c:v>4</c:v>
                </c:pt>
                <c:pt idx="12">
                  <c:v>7</c:v>
                </c:pt>
                <c:pt idx="1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5-41AB-96DB-2DA5423CB0BE}"/>
            </c:ext>
          </c:extLst>
        </c:ser>
        <c:ser>
          <c:idx val="1"/>
          <c:order val="1"/>
          <c:tx>
            <c:strRef>
              <c:f>'2. Mapa de Empatía'!$C$1:$C$2</c:f>
              <c:strCache>
                <c:ptCount val="2"/>
                <c:pt idx="0">
                  <c:v>&lt;---Actores----&gt;</c:v>
                </c:pt>
                <c:pt idx="1">
                  <c:v>Administrador de producción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 Mapa de Empatía'!$A$3:$A$16</c:f>
              <c:strCache>
                <c:ptCount val="14"/>
                <c:pt idx="0">
                  <c:v>Confiabilidad</c:v>
                </c:pt>
                <c:pt idx="1">
                  <c:v>Disponibilidad</c:v>
                </c:pt>
                <c:pt idx="2">
                  <c:v>Seguridad de funcionamiento</c:v>
                </c:pt>
                <c:pt idx="3">
                  <c:v>Rendimiento</c:v>
                </c:pt>
                <c:pt idx="4">
                  <c:v>Trazabilidad</c:v>
                </c:pt>
                <c:pt idx="5">
                  <c:v>Capacidad</c:v>
                </c:pt>
                <c:pt idx="6">
                  <c:v>Interoperatividad</c:v>
                </c:pt>
                <c:pt idx="7">
                  <c:v>Capacidad para ser Administrado</c:v>
                </c:pt>
                <c:pt idx="8">
                  <c:v>Experiencia de Usuario</c:v>
                </c:pt>
                <c:pt idx="9">
                  <c:v>Capacidad para ser Soportado</c:v>
                </c:pt>
                <c:pt idx="10">
                  <c:v>Seguridad</c:v>
                </c:pt>
                <c:pt idx="11">
                  <c:v>Portabilidad</c:v>
                </c:pt>
                <c:pt idx="12">
                  <c:v>Accesibilidad</c:v>
                </c:pt>
                <c:pt idx="13">
                  <c:v>Escalabilidad</c:v>
                </c:pt>
              </c:strCache>
            </c:strRef>
          </c:cat>
          <c:val>
            <c:numRef>
              <c:f>'2. Mapa de Empatía'!$C$3:$C$16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13</c:v>
                </c:pt>
                <c:pt idx="10">
                  <c:v>11</c:v>
                </c:pt>
                <c:pt idx="11">
                  <c:v>10</c:v>
                </c:pt>
                <c:pt idx="12">
                  <c:v>12</c:v>
                </c:pt>
                <c:pt idx="1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5-41AB-96DB-2DA5423CB0BE}"/>
            </c:ext>
          </c:extLst>
        </c:ser>
        <c:ser>
          <c:idx val="2"/>
          <c:order val="2"/>
          <c:tx>
            <c:strRef>
              <c:f>'2. Mapa de Empatía'!$D$1:$D$2</c:f>
              <c:strCache>
                <c:ptCount val="2"/>
                <c:pt idx="0">
                  <c:v>&lt;---Actores----&gt;</c:v>
                </c:pt>
                <c:pt idx="1">
                  <c:v>Administrador del sistema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'2. Mapa de Empatía'!$A$3:$A$16</c:f>
              <c:strCache>
                <c:ptCount val="14"/>
                <c:pt idx="0">
                  <c:v>Confiabilidad</c:v>
                </c:pt>
                <c:pt idx="1">
                  <c:v>Disponibilidad</c:v>
                </c:pt>
                <c:pt idx="2">
                  <c:v>Seguridad de funcionamiento</c:v>
                </c:pt>
                <c:pt idx="3">
                  <c:v>Rendimiento</c:v>
                </c:pt>
                <c:pt idx="4">
                  <c:v>Trazabilidad</c:v>
                </c:pt>
                <c:pt idx="5">
                  <c:v>Capacidad</c:v>
                </c:pt>
                <c:pt idx="6">
                  <c:v>Interoperatividad</c:v>
                </c:pt>
                <c:pt idx="7">
                  <c:v>Capacidad para ser Administrado</c:v>
                </c:pt>
                <c:pt idx="8">
                  <c:v>Experiencia de Usuario</c:v>
                </c:pt>
                <c:pt idx="9">
                  <c:v>Capacidad para ser Soportado</c:v>
                </c:pt>
                <c:pt idx="10">
                  <c:v>Seguridad</c:v>
                </c:pt>
                <c:pt idx="11">
                  <c:v>Portabilidad</c:v>
                </c:pt>
                <c:pt idx="12">
                  <c:v>Accesibilidad</c:v>
                </c:pt>
                <c:pt idx="13">
                  <c:v>Escalabilidad</c:v>
                </c:pt>
              </c:strCache>
            </c:strRef>
          </c:cat>
          <c:val>
            <c:numRef>
              <c:f>'2. Mapa de Empatía'!$D$3:$D$16</c:f>
              <c:numCache>
                <c:formatCode>General</c:formatCode>
                <c:ptCount val="14"/>
                <c:pt idx="0">
                  <c:v>5</c:v>
                </c:pt>
                <c:pt idx="1">
                  <c:v>8</c:v>
                </c:pt>
                <c:pt idx="2">
                  <c:v>1</c:v>
                </c:pt>
                <c:pt idx="3">
                  <c:v>9</c:v>
                </c:pt>
                <c:pt idx="4">
                  <c:v>4</c:v>
                </c:pt>
                <c:pt idx="5">
                  <c:v>6</c:v>
                </c:pt>
                <c:pt idx="6">
                  <c:v>10</c:v>
                </c:pt>
                <c:pt idx="7">
                  <c:v>3</c:v>
                </c:pt>
                <c:pt idx="8">
                  <c:v>13</c:v>
                </c:pt>
                <c:pt idx="9">
                  <c:v>2</c:v>
                </c:pt>
                <c:pt idx="10">
                  <c:v>7</c:v>
                </c:pt>
                <c:pt idx="11">
                  <c:v>14</c:v>
                </c:pt>
                <c:pt idx="12">
                  <c:v>11</c:v>
                </c:pt>
                <c:pt idx="1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A5-41AB-96DB-2DA5423CB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421040"/>
        <c:axId val="1557409040"/>
      </c:radarChart>
      <c:catAx>
        <c:axId val="155742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7409040"/>
        <c:crosses val="autoZero"/>
        <c:auto val="1"/>
        <c:lblAlgn val="ctr"/>
        <c:lblOffset val="100"/>
        <c:noMultiLvlLbl val="0"/>
      </c:catAx>
      <c:valAx>
        <c:axId val="155740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742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</xdr:colOff>
      <xdr:row>18</xdr:row>
      <xdr:rowOff>18097</xdr:rowOff>
    </xdr:from>
    <xdr:to>
      <xdr:col>4</xdr:col>
      <xdr:colOff>1015365</xdr:colOff>
      <xdr:row>46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5276B2-129A-1370-72EE-9FF147A1B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D085-D9F7-41FA-B4E9-95D925DD2E16}">
  <dimension ref="A1:Q35"/>
  <sheetViews>
    <sheetView zoomScaleNormal="100" workbookViewId="0">
      <selection activeCell="Q14" sqref="Q14"/>
    </sheetView>
  </sheetViews>
  <sheetFormatPr baseColWidth="10" defaultRowHeight="14.4" x14ac:dyDescent="0.3"/>
  <cols>
    <col min="1" max="1" width="37.44140625" customWidth="1"/>
    <col min="2" max="2" width="10.5546875" customWidth="1"/>
    <col min="3" max="16" width="3.77734375" customWidth="1"/>
  </cols>
  <sheetData>
    <row r="1" spans="1:17" x14ac:dyDescent="0.3">
      <c r="A1" s="10" t="s">
        <v>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7" x14ac:dyDescent="0.3">
      <c r="A2" s="9" t="s">
        <v>0</v>
      </c>
      <c r="B2" s="9" t="s">
        <v>1</v>
      </c>
      <c r="C2" s="9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x14ac:dyDescent="0.3">
      <c r="A3" s="9"/>
      <c r="B3" s="9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1"/>
    </row>
    <row r="4" spans="1:17" x14ac:dyDescent="0.3">
      <c r="A4" s="3" t="s">
        <v>5</v>
      </c>
      <c r="B4" s="3">
        <v>1</v>
      </c>
      <c r="C4" s="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x14ac:dyDescent="0.3">
      <c r="A5" s="3" t="s">
        <v>3</v>
      </c>
      <c r="B5" s="3">
        <v>2</v>
      </c>
      <c r="C5" s="3"/>
      <c r="D5" s="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7" x14ac:dyDescent="0.3">
      <c r="A6" s="3" t="s">
        <v>6</v>
      </c>
      <c r="B6" s="3">
        <v>3</v>
      </c>
      <c r="C6" s="3"/>
      <c r="D6" s="3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7" x14ac:dyDescent="0.3">
      <c r="A7" s="3" t="s">
        <v>4</v>
      </c>
      <c r="B7" s="3">
        <v>4</v>
      </c>
      <c r="C7" s="3"/>
      <c r="D7" s="3"/>
      <c r="E7" s="3"/>
      <c r="F7" s="7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7" x14ac:dyDescent="0.3">
      <c r="A8" s="3" t="s">
        <v>8</v>
      </c>
      <c r="B8" s="3">
        <v>5</v>
      </c>
      <c r="C8" s="3"/>
      <c r="D8" s="3"/>
      <c r="E8" s="3"/>
      <c r="F8" s="3"/>
      <c r="G8" s="7"/>
      <c r="H8" s="3"/>
      <c r="I8" s="3"/>
      <c r="J8" s="3"/>
      <c r="K8" s="3"/>
      <c r="L8" s="3"/>
      <c r="M8" s="3"/>
      <c r="N8" s="3"/>
      <c r="O8" s="3"/>
      <c r="P8" s="3"/>
    </row>
    <row r="9" spans="1:17" x14ac:dyDescent="0.3">
      <c r="A9" s="3" t="s">
        <v>10</v>
      </c>
      <c r="B9" s="3">
        <v>6</v>
      </c>
      <c r="C9" s="3"/>
      <c r="D9" s="3"/>
      <c r="E9" s="3"/>
      <c r="F9" s="3"/>
      <c r="G9" s="3"/>
      <c r="H9" s="7"/>
      <c r="I9" s="3"/>
      <c r="J9" s="3"/>
      <c r="K9" s="3"/>
      <c r="L9" s="3"/>
      <c r="M9" s="3"/>
      <c r="N9" s="3"/>
      <c r="O9" s="3"/>
      <c r="P9" s="3"/>
    </row>
    <row r="10" spans="1:17" x14ac:dyDescent="0.3">
      <c r="A10" s="3" t="s">
        <v>9</v>
      </c>
      <c r="B10" s="3">
        <v>7</v>
      </c>
      <c r="C10" s="3"/>
      <c r="D10" s="3"/>
      <c r="E10" s="3"/>
      <c r="F10" s="3"/>
      <c r="G10" s="3"/>
      <c r="H10" s="5"/>
      <c r="I10" s="7"/>
      <c r="J10" s="3"/>
      <c r="K10" s="3"/>
      <c r="L10" s="3"/>
      <c r="M10" s="3"/>
      <c r="N10" s="3"/>
      <c r="O10" s="3"/>
      <c r="P10" s="3"/>
    </row>
    <row r="11" spans="1:17" x14ac:dyDescent="0.3">
      <c r="A11" s="3" t="s">
        <v>13</v>
      </c>
      <c r="B11" s="3">
        <v>8</v>
      </c>
      <c r="C11" s="3"/>
      <c r="D11" s="3"/>
      <c r="E11" s="3"/>
      <c r="F11" s="3"/>
      <c r="G11" s="3"/>
      <c r="H11" s="3"/>
      <c r="I11" s="3"/>
      <c r="J11" s="7"/>
      <c r="K11" s="3"/>
      <c r="L11" s="3"/>
      <c r="M11" s="3"/>
      <c r="N11" s="3"/>
      <c r="O11" s="3"/>
      <c r="P11" s="3"/>
    </row>
    <row r="12" spans="1:17" x14ac:dyDescent="0.3">
      <c r="A12" s="3" t="s">
        <v>11</v>
      </c>
      <c r="B12" s="3">
        <v>9</v>
      </c>
      <c r="C12" s="3"/>
      <c r="D12" s="3"/>
      <c r="E12" s="3"/>
      <c r="F12" s="3"/>
      <c r="G12" s="3"/>
      <c r="H12" s="3"/>
      <c r="I12" s="3"/>
      <c r="J12" s="3"/>
      <c r="K12" s="7"/>
      <c r="L12" s="3"/>
      <c r="M12" s="3"/>
      <c r="N12" s="3"/>
      <c r="O12" s="3"/>
      <c r="P12" s="3"/>
    </row>
    <row r="13" spans="1:17" x14ac:dyDescent="0.3">
      <c r="A13" s="3" t="s">
        <v>7</v>
      </c>
      <c r="B13" s="3">
        <v>10</v>
      </c>
      <c r="C13" s="3"/>
      <c r="D13" s="3"/>
      <c r="E13" s="3"/>
      <c r="F13" s="3"/>
      <c r="G13" s="3"/>
      <c r="H13" s="3"/>
      <c r="I13" s="3"/>
      <c r="J13" s="3"/>
      <c r="K13" s="3"/>
      <c r="L13" s="7"/>
      <c r="M13" s="3"/>
      <c r="N13" s="3"/>
      <c r="O13" s="3"/>
      <c r="P13" s="3"/>
    </row>
    <row r="14" spans="1:17" x14ac:dyDescent="0.3">
      <c r="A14" s="3" t="s">
        <v>12</v>
      </c>
      <c r="B14" s="3">
        <v>11</v>
      </c>
      <c r="C14" s="3"/>
      <c r="D14" s="3"/>
      <c r="E14" s="3"/>
      <c r="F14" s="3"/>
      <c r="G14" s="3"/>
      <c r="H14" s="3"/>
      <c r="I14" s="3"/>
      <c r="J14" s="5"/>
      <c r="K14" s="3"/>
      <c r="L14" s="3"/>
      <c r="M14" s="7"/>
      <c r="N14" s="3"/>
      <c r="O14" s="3"/>
      <c r="P14" s="3"/>
    </row>
    <row r="15" spans="1:17" x14ac:dyDescent="0.3">
      <c r="A15" s="3" t="s">
        <v>14</v>
      </c>
      <c r="B15" s="3">
        <v>12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7"/>
      <c r="O15" s="3"/>
      <c r="P15" s="3"/>
    </row>
    <row r="16" spans="1:17" x14ac:dyDescent="0.3">
      <c r="A16" s="3" t="s">
        <v>15</v>
      </c>
      <c r="B16" s="3">
        <v>13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7"/>
      <c r="P16" s="3"/>
    </row>
    <row r="17" spans="1:16" x14ac:dyDescent="0.3">
      <c r="A17" s="3" t="s">
        <v>16</v>
      </c>
      <c r="B17" s="3">
        <v>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7"/>
    </row>
    <row r="19" spans="1:16" x14ac:dyDescent="0.3">
      <c r="A19" s="10" t="s">
        <v>23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3">
      <c r="A20" s="9" t="s">
        <v>0</v>
      </c>
      <c r="B20" s="9" t="s">
        <v>1</v>
      </c>
      <c r="C20" s="9" t="s">
        <v>2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x14ac:dyDescent="0.3">
      <c r="A21" s="9"/>
      <c r="B21" s="9"/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</row>
    <row r="22" spans="1:16" x14ac:dyDescent="0.3">
      <c r="A22" s="3" t="s">
        <v>5</v>
      </c>
      <c r="B22" s="3">
        <v>1</v>
      </c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3">
      <c r="A23" s="3" t="s">
        <v>6</v>
      </c>
      <c r="B23" s="3">
        <v>2</v>
      </c>
      <c r="C23" s="5"/>
      <c r="D23" s="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3">
      <c r="A24" s="3" t="s">
        <v>11</v>
      </c>
      <c r="B24" s="3">
        <v>3</v>
      </c>
      <c r="C24" s="5"/>
      <c r="D24" s="5"/>
      <c r="E24" s="7"/>
      <c r="F24" s="5"/>
      <c r="G24" s="5"/>
      <c r="H24" s="5"/>
      <c r="I24" s="5"/>
      <c r="J24" s="5"/>
      <c r="K24" s="5"/>
      <c r="L24" s="5"/>
      <c r="M24" s="11"/>
      <c r="N24" s="5"/>
      <c r="O24" s="5"/>
      <c r="P24" s="5"/>
    </row>
    <row r="25" spans="1:16" x14ac:dyDescent="0.3">
      <c r="A25" s="3" t="s">
        <v>8</v>
      </c>
      <c r="B25" s="3">
        <v>4</v>
      </c>
      <c r="C25" s="5"/>
      <c r="D25" s="5"/>
      <c r="E25" s="11"/>
      <c r="F25" s="7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3">
      <c r="A26" s="3" t="s">
        <v>12</v>
      </c>
      <c r="B26" s="3">
        <v>5</v>
      </c>
      <c r="C26" s="5"/>
      <c r="D26" s="5"/>
      <c r="E26" s="5"/>
      <c r="F26" s="11"/>
      <c r="G26" s="7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3">
      <c r="A27" s="3" t="s">
        <v>9</v>
      </c>
      <c r="B27" s="3">
        <v>6</v>
      </c>
      <c r="C27" s="5"/>
      <c r="D27" s="5"/>
      <c r="E27" s="5"/>
      <c r="F27" s="5"/>
      <c r="G27" s="5"/>
      <c r="H27" s="7"/>
      <c r="I27" s="5"/>
      <c r="J27" s="5"/>
      <c r="K27" s="5"/>
      <c r="L27" s="5"/>
      <c r="M27" s="5"/>
      <c r="N27" s="5"/>
      <c r="O27" s="5"/>
      <c r="P27" s="5"/>
    </row>
    <row r="28" spans="1:16" x14ac:dyDescent="0.3">
      <c r="A28" s="3" t="s">
        <v>15</v>
      </c>
      <c r="B28" s="3">
        <v>7</v>
      </c>
      <c r="C28" s="5"/>
      <c r="D28" s="5"/>
      <c r="E28" s="5"/>
      <c r="F28" s="5"/>
      <c r="G28" s="5"/>
      <c r="H28" s="5"/>
      <c r="I28" s="7"/>
      <c r="J28" s="5"/>
      <c r="K28" s="11"/>
      <c r="L28" s="11"/>
      <c r="M28" s="11"/>
      <c r="N28" s="5"/>
      <c r="O28" s="5"/>
      <c r="P28" s="5"/>
    </row>
    <row r="29" spans="1:16" x14ac:dyDescent="0.3">
      <c r="A29" s="3" t="s">
        <v>3</v>
      </c>
      <c r="B29" s="3">
        <v>8</v>
      </c>
      <c r="C29" s="5"/>
      <c r="D29" s="11"/>
      <c r="E29" s="5"/>
      <c r="F29" s="11"/>
      <c r="G29" s="11"/>
      <c r="H29" s="11"/>
      <c r="I29" s="11"/>
      <c r="J29" s="7"/>
      <c r="K29" s="5"/>
      <c r="L29" s="5"/>
      <c r="M29" s="5"/>
      <c r="N29" s="5"/>
      <c r="O29" s="5"/>
      <c r="P29" s="5"/>
    </row>
    <row r="30" spans="1:16" x14ac:dyDescent="0.3">
      <c r="A30" s="3" t="s">
        <v>16</v>
      </c>
      <c r="B30" s="3">
        <v>9</v>
      </c>
      <c r="C30" s="5"/>
      <c r="D30" s="5"/>
      <c r="E30" s="5"/>
      <c r="F30" s="5"/>
      <c r="G30" s="5"/>
      <c r="H30" s="5"/>
      <c r="I30" s="11"/>
      <c r="J30" s="11"/>
      <c r="K30" s="7"/>
      <c r="L30" s="11"/>
      <c r="M30" s="5"/>
      <c r="N30" s="5"/>
      <c r="O30" s="5"/>
      <c r="P30" s="5"/>
    </row>
    <row r="31" spans="1:16" x14ac:dyDescent="0.3">
      <c r="A31" s="3" t="s">
        <v>4</v>
      </c>
      <c r="B31" s="3">
        <v>10</v>
      </c>
      <c r="C31" s="5"/>
      <c r="D31" s="5"/>
      <c r="E31" s="5"/>
      <c r="F31" s="5"/>
      <c r="G31" s="5"/>
      <c r="H31" s="11"/>
      <c r="I31" s="11"/>
      <c r="J31" s="11"/>
      <c r="K31" s="5"/>
      <c r="L31" s="7"/>
      <c r="M31" s="5"/>
      <c r="N31" s="5"/>
      <c r="O31" s="5"/>
      <c r="P31" s="5"/>
    </row>
    <row r="32" spans="1:16" x14ac:dyDescent="0.3">
      <c r="A32" s="3" t="s">
        <v>13</v>
      </c>
      <c r="B32" s="3">
        <v>11</v>
      </c>
      <c r="C32" s="5"/>
      <c r="D32" s="5"/>
      <c r="E32" s="5"/>
      <c r="F32" s="5"/>
      <c r="G32" s="5"/>
      <c r="H32" s="5"/>
      <c r="I32" s="5"/>
      <c r="J32" s="11"/>
      <c r="K32" s="11"/>
      <c r="L32" s="11"/>
      <c r="M32" s="7"/>
      <c r="N32" s="5"/>
      <c r="O32" s="5"/>
      <c r="P32" s="5"/>
    </row>
    <row r="33" spans="1:16" x14ac:dyDescent="0.3">
      <c r="A33" s="3" t="s">
        <v>10</v>
      </c>
      <c r="B33" s="3">
        <v>12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7"/>
      <c r="O33" s="5"/>
      <c r="P33" s="5"/>
    </row>
    <row r="34" spans="1:16" x14ac:dyDescent="0.3">
      <c r="A34" s="3" t="s">
        <v>7</v>
      </c>
      <c r="B34" s="3">
        <v>13</v>
      </c>
      <c r="C34" s="5"/>
      <c r="D34" s="5"/>
      <c r="E34" s="5"/>
      <c r="F34" s="5"/>
      <c r="G34" s="5"/>
      <c r="H34" s="5"/>
      <c r="I34" s="5"/>
      <c r="J34" s="5"/>
      <c r="K34" s="11"/>
      <c r="L34" s="5"/>
      <c r="M34" s="5"/>
      <c r="N34" s="11"/>
      <c r="O34" s="7"/>
      <c r="P34" s="5"/>
    </row>
    <row r="35" spans="1:16" x14ac:dyDescent="0.3">
      <c r="A35" s="3" t="s">
        <v>14</v>
      </c>
      <c r="B35" s="3">
        <v>14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11"/>
      <c r="P35" s="7"/>
    </row>
  </sheetData>
  <sortState xmlns:xlrd2="http://schemas.microsoft.com/office/spreadsheetml/2017/richdata2" ref="A4:P17">
    <sortCondition ref="B4:B17"/>
  </sortState>
  <mergeCells count="8">
    <mergeCell ref="A1:P1"/>
    <mergeCell ref="C2:P2"/>
    <mergeCell ref="B2:B3"/>
    <mergeCell ref="A2:A3"/>
    <mergeCell ref="A20:A21"/>
    <mergeCell ref="B20:B21"/>
    <mergeCell ref="C20:P20"/>
    <mergeCell ref="A19:P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7812-B1CE-4F21-8AC5-884B01BB7E0F}">
  <dimension ref="A1:F19"/>
  <sheetViews>
    <sheetView tabSelected="1" workbookViewId="0">
      <selection activeCell="G25" sqref="G25"/>
    </sheetView>
  </sheetViews>
  <sheetFormatPr baseColWidth="10" defaultRowHeight="14.4" x14ac:dyDescent="0.3"/>
  <cols>
    <col min="1" max="1" width="36.6640625" customWidth="1"/>
    <col min="2" max="2" width="32.5546875" customWidth="1"/>
    <col min="3" max="3" width="47.33203125" customWidth="1"/>
    <col min="4" max="4" width="48.77734375" customWidth="1"/>
    <col min="5" max="5" width="23.109375" customWidth="1"/>
  </cols>
  <sheetData>
    <row r="1" spans="1:6" x14ac:dyDescent="0.3">
      <c r="A1" s="12" t="s">
        <v>17</v>
      </c>
      <c r="B1" s="8" t="s">
        <v>18</v>
      </c>
      <c r="C1" s="8"/>
      <c r="D1" s="8"/>
      <c r="E1" s="4"/>
      <c r="F1" s="4"/>
    </row>
    <row r="2" spans="1:6" x14ac:dyDescent="0.3">
      <c r="A2" s="13"/>
      <c r="B2" s="4" t="s">
        <v>21</v>
      </c>
      <c r="C2" s="4" t="s">
        <v>25</v>
      </c>
      <c r="D2" s="4" t="s">
        <v>22</v>
      </c>
      <c r="E2" s="4" t="s">
        <v>19</v>
      </c>
      <c r="F2" s="3" t="s">
        <v>20</v>
      </c>
    </row>
    <row r="3" spans="1:6" x14ac:dyDescent="0.3">
      <c r="A3" s="14" t="s">
        <v>5</v>
      </c>
      <c r="B3" s="14">
        <v>1</v>
      </c>
      <c r="C3" s="14">
        <v>1</v>
      </c>
      <c r="D3" s="14">
        <v>5</v>
      </c>
      <c r="E3" s="14">
        <f>SUM(B3:D3)</f>
        <v>7</v>
      </c>
      <c r="F3" s="15">
        <f>E3/E$17</f>
        <v>2.2222222222222223E-2</v>
      </c>
    </row>
    <row r="4" spans="1:6" x14ac:dyDescent="0.3">
      <c r="A4" s="14" t="s">
        <v>6</v>
      </c>
      <c r="B4" s="14">
        <v>2</v>
      </c>
      <c r="C4" s="14">
        <v>2</v>
      </c>
      <c r="D4" s="14">
        <v>8</v>
      </c>
      <c r="E4" s="14">
        <f>SUM(B4:D4)</f>
        <v>12</v>
      </c>
      <c r="F4" s="15">
        <f>E4/E$17</f>
        <v>3.8095238095238099E-2</v>
      </c>
    </row>
    <row r="5" spans="1:6" x14ac:dyDescent="0.3">
      <c r="A5" s="14" t="s">
        <v>16</v>
      </c>
      <c r="B5" s="14">
        <v>8</v>
      </c>
      <c r="C5" s="14">
        <v>6</v>
      </c>
      <c r="D5" s="14">
        <v>1</v>
      </c>
      <c r="E5" s="14">
        <f>SUM(B5:D5)</f>
        <v>15</v>
      </c>
      <c r="F5" s="15">
        <f>E5/E$17</f>
        <v>4.7619047619047616E-2</v>
      </c>
    </row>
    <row r="6" spans="1:6" x14ac:dyDescent="0.3">
      <c r="A6" s="14" t="s">
        <v>8</v>
      </c>
      <c r="B6" s="14">
        <v>3</v>
      </c>
      <c r="C6" s="14">
        <v>5</v>
      </c>
      <c r="D6" s="14">
        <v>9</v>
      </c>
      <c r="E6" s="14">
        <f>SUM(B6:D6)</f>
        <v>17</v>
      </c>
      <c r="F6" s="15">
        <f>E6/E$17</f>
        <v>5.3968253968253971E-2</v>
      </c>
    </row>
    <row r="7" spans="1:6" x14ac:dyDescent="0.3">
      <c r="A7" s="14" t="s">
        <v>12</v>
      </c>
      <c r="B7" s="14">
        <v>9</v>
      </c>
      <c r="C7" s="14">
        <v>4</v>
      </c>
      <c r="D7" s="14">
        <v>4</v>
      </c>
      <c r="E7" s="14">
        <f>SUM(B7:D7)</f>
        <v>17</v>
      </c>
      <c r="F7" s="15">
        <f>E7/E$17</f>
        <v>5.3968253968253971E-2</v>
      </c>
    </row>
    <row r="8" spans="1:6" x14ac:dyDescent="0.3">
      <c r="A8" s="3" t="s">
        <v>11</v>
      </c>
      <c r="B8" s="3">
        <v>11</v>
      </c>
      <c r="C8" s="3">
        <v>3</v>
      </c>
      <c r="D8" s="3">
        <v>6</v>
      </c>
      <c r="E8" s="5">
        <f>SUM(B8:D8)</f>
        <v>20</v>
      </c>
      <c r="F8" s="6">
        <f>E8/E$17</f>
        <v>6.3492063492063489E-2</v>
      </c>
    </row>
    <row r="9" spans="1:6" x14ac:dyDescent="0.3">
      <c r="A9" s="3" t="s">
        <v>15</v>
      </c>
      <c r="B9" s="3">
        <v>5</v>
      </c>
      <c r="C9" s="3">
        <v>9</v>
      </c>
      <c r="D9" s="3">
        <v>10</v>
      </c>
      <c r="E9" s="5">
        <f>SUM(B9:D9)</f>
        <v>24</v>
      </c>
      <c r="F9" s="6">
        <f>E9/E$17</f>
        <v>7.6190476190476197E-2</v>
      </c>
    </row>
    <row r="10" spans="1:6" x14ac:dyDescent="0.3">
      <c r="A10" s="3" t="s">
        <v>9</v>
      </c>
      <c r="B10" s="3">
        <v>14</v>
      </c>
      <c r="C10" s="3">
        <v>8</v>
      </c>
      <c r="D10" s="3">
        <v>3</v>
      </c>
      <c r="E10" s="5">
        <f>SUM(B10:D10)</f>
        <v>25</v>
      </c>
      <c r="F10" s="6">
        <f>E10/E$17</f>
        <v>7.9365079365079361E-2</v>
      </c>
    </row>
    <row r="11" spans="1:6" x14ac:dyDescent="0.3">
      <c r="A11" s="3" t="s">
        <v>3</v>
      </c>
      <c r="B11" s="5">
        <v>6</v>
      </c>
      <c r="C11" s="5">
        <v>7</v>
      </c>
      <c r="D11" s="5">
        <v>13</v>
      </c>
      <c r="E11" s="5">
        <f>SUM(B11:D11)</f>
        <v>26</v>
      </c>
      <c r="F11" s="6">
        <f>E11/E$17</f>
        <v>8.2539682539682538E-2</v>
      </c>
    </row>
    <row r="12" spans="1:6" x14ac:dyDescent="0.3">
      <c r="A12" s="3" t="s">
        <v>10</v>
      </c>
      <c r="B12" s="3">
        <v>12</v>
      </c>
      <c r="C12" s="3">
        <v>13</v>
      </c>
      <c r="D12" s="3">
        <v>2</v>
      </c>
      <c r="E12" s="5">
        <f>SUM(B12:D12)</f>
        <v>27</v>
      </c>
      <c r="F12" s="6">
        <f>E12/E$17</f>
        <v>8.5714285714285715E-2</v>
      </c>
    </row>
    <row r="13" spans="1:6" x14ac:dyDescent="0.3">
      <c r="A13" s="3" t="s">
        <v>4</v>
      </c>
      <c r="B13" s="5">
        <v>10</v>
      </c>
      <c r="C13" s="5">
        <v>11</v>
      </c>
      <c r="D13" s="5">
        <v>7</v>
      </c>
      <c r="E13" s="5">
        <f>SUM(B13:D13)</f>
        <v>28</v>
      </c>
      <c r="F13" s="6">
        <f>E13/E$17</f>
        <v>8.8888888888888892E-2</v>
      </c>
    </row>
    <row r="14" spans="1:6" x14ac:dyDescent="0.3">
      <c r="A14" s="3" t="s">
        <v>13</v>
      </c>
      <c r="B14" s="3">
        <v>4</v>
      </c>
      <c r="C14" s="3">
        <v>10</v>
      </c>
      <c r="D14" s="3">
        <v>14</v>
      </c>
      <c r="E14" s="5">
        <f>SUM(B14:D14)</f>
        <v>28</v>
      </c>
      <c r="F14" s="6">
        <f>E14/E$17</f>
        <v>8.8888888888888892E-2</v>
      </c>
    </row>
    <row r="15" spans="1:6" x14ac:dyDescent="0.3">
      <c r="A15" s="3" t="s">
        <v>7</v>
      </c>
      <c r="B15" s="5">
        <v>7</v>
      </c>
      <c r="C15" s="5">
        <v>12</v>
      </c>
      <c r="D15" s="5">
        <v>11</v>
      </c>
      <c r="E15" s="5">
        <f>SUM(B15:D15)</f>
        <v>30</v>
      </c>
      <c r="F15" s="6">
        <f>E15/E$17</f>
        <v>9.5238095238095233E-2</v>
      </c>
    </row>
    <row r="16" spans="1:6" x14ac:dyDescent="0.3">
      <c r="A16" s="3" t="s">
        <v>14</v>
      </c>
      <c r="B16" s="3">
        <v>13</v>
      </c>
      <c r="C16" s="3">
        <v>14</v>
      </c>
      <c r="D16" s="3">
        <v>12</v>
      </c>
      <c r="E16" s="5">
        <f>SUM(B16:D16)</f>
        <v>39</v>
      </c>
      <c r="F16" s="6">
        <f>E16/E$17</f>
        <v>0.12380952380952381</v>
      </c>
    </row>
    <row r="17" spans="1:6" x14ac:dyDescent="0.3">
      <c r="A17" s="3"/>
      <c r="B17" s="3">
        <f>SUM(B3:B16)</f>
        <v>105</v>
      </c>
      <c r="C17" s="3">
        <f t="shared" ref="C17:E17" si="0">SUM(C3:C16)</f>
        <v>105</v>
      </c>
      <c r="D17" s="3">
        <f t="shared" si="0"/>
        <v>105</v>
      </c>
      <c r="E17" s="3">
        <f t="shared" si="0"/>
        <v>315</v>
      </c>
      <c r="F17" s="6">
        <f>SUM(F3:F16)</f>
        <v>1</v>
      </c>
    </row>
    <row r="19" spans="1:6" x14ac:dyDescent="0.3">
      <c r="E19" t="s">
        <v>26</v>
      </c>
    </row>
  </sheetData>
  <sortState xmlns:xlrd2="http://schemas.microsoft.com/office/spreadsheetml/2017/richdata2" ref="A4:F16">
    <sortCondition ref="F3:F16"/>
  </sortState>
  <mergeCells count="2">
    <mergeCell ref="B1:D1"/>
    <mergeCell ref="A1:A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95BEB-2B4E-45D3-8124-2209C866CC09}">
  <dimension ref="A1:G21"/>
  <sheetViews>
    <sheetView workbookViewId="0">
      <selection activeCell="H15" sqref="H15"/>
    </sheetView>
  </sheetViews>
  <sheetFormatPr baseColWidth="10" defaultRowHeight="14.4" x14ac:dyDescent="0.3"/>
  <cols>
    <col min="1" max="1" width="36.21875" customWidth="1"/>
  </cols>
  <sheetData>
    <row r="1" spans="1:7" x14ac:dyDescent="0.3">
      <c r="A1" s="16"/>
      <c r="B1" s="18"/>
      <c r="C1" s="16"/>
      <c r="F1" s="16"/>
      <c r="G1" s="16"/>
    </row>
    <row r="2" spans="1:7" x14ac:dyDescent="0.3">
      <c r="A2" s="16"/>
      <c r="B2" s="18"/>
      <c r="C2" s="16"/>
      <c r="F2" s="16"/>
      <c r="G2" s="16"/>
    </row>
    <row r="3" spans="1:7" x14ac:dyDescent="0.3">
      <c r="A3" s="16"/>
      <c r="B3" s="16"/>
      <c r="C3" s="16"/>
      <c r="F3" s="16"/>
      <c r="G3" s="16"/>
    </row>
    <row r="4" spans="1:7" x14ac:dyDescent="0.3">
      <c r="A4" s="16"/>
      <c r="B4" s="16"/>
      <c r="C4" s="16"/>
      <c r="F4" s="16"/>
      <c r="G4" s="16"/>
    </row>
    <row r="5" spans="1:7" x14ac:dyDescent="0.3">
      <c r="A5" s="16"/>
      <c r="B5" s="16"/>
      <c r="C5" s="16"/>
      <c r="F5" s="16"/>
      <c r="G5" s="16"/>
    </row>
    <row r="6" spans="1:7" x14ac:dyDescent="0.3">
      <c r="A6" s="16"/>
      <c r="B6" s="16"/>
      <c r="C6" s="16"/>
      <c r="F6" s="16"/>
      <c r="G6" s="16"/>
    </row>
    <row r="7" spans="1:7" x14ac:dyDescent="0.3">
      <c r="A7" s="16"/>
      <c r="B7" s="18"/>
      <c r="C7" s="16"/>
      <c r="F7" s="16"/>
      <c r="G7" s="16"/>
    </row>
    <row r="8" spans="1:7" x14ac:dyDescent="0.3">
      <c r="A8" s="16"/>
      <c r="B8" s="18"/>
      <c r="C8" s="16"/>
      <c r="F8" s="16"/>
      <c r="G8" s="16"/>
    </row>
    <row r="9" spans="1:7" x14ac:dyDescent="0.3">
      <c r="A9" s="16"/>
      <c r="B9" s="16"/>
      <c r="C9" s="16"/>
      <c r="F9" s="16"/>
      <c r="G9" s="16"/>
    </row>
    <row r="10" spans="1:7" x14ac:dyDescent="0.3">
      <c r="A10" s="17"/>
      <c r="B10" s="16"/>
      <c r="C10" s="16"/>
      <c r="D10" s="16"/>
      <c r="E10" s="16"/>
      <c r="F10" s="18"/>
      <c r="G10" s="16"/>
    </row>
    <row r="11" spans="1:7" x14ac:dyDescent="0.3">
      <c r="A11" s="17"/>
      <c r="B11" s="16"/>
      <c r="C11" s="16"/>
      <c r="D11" s="16"/>
      <c r="E11" s="16"/>
      <c r="F11" s="18"/>
      <c r="G11" s="16"/>
    </row>
    <row r="12" spans="1:7" x14ac:dyDescent="0.3">
      <c r="A12" s="17"/>
      <c r="B12" s="16"/>
      <c r="C12" s="16"/>
      <c r="D12" s="16"/>
      <c r="E12" s="16"/>
      <c r="F12" s="18"/>
      <c r="G12" s="16"/>
    </row>
    <row r="13" spans="1:7" x14ac:dyDescent="0.3">
      <c r="A13" s="16"/>
      <c r="B13" s="16"/>
      <c r="C13" s="16"/>
      <c r="D13" s="16"/>
      <c r="E13" s="16"/>
      <c r="F13" s="18"/>
      <c r="G13" s="16"/>
    </row>
    <row r="14" spans="1:7" x14ac:dyDescent="0.3">
      <c r="A14" s="16"/>
      <c r="B14" s="16"/>
      <c r="C14" s="16"/>
      <c r="D14" s="16"/>
      <c r="E14" s="16"/>
      <c r="F14" s="16"/>
      <c r="G14" s="16"/>
    </row>
    <row r="15" spans="1:7" x14ac:dyDescent="0.3">
      <c r="A15" s="16"/>
      <c r="B15" s="16"/>
      <c r="C15" s="16"/>
      <c r="D15" s="16"/>
      <c r="E15" s="16"/>
      <c r="F15" s="16"/>
      <c r="G15" s="16"/>
    </row>
    <row r="16" spans="1:7" x14ac:dyDescent="0.3">
      <c r="A16" s="16"/>
      <c r="B16" s="16"/>
      <c r="C16" s="16"/>
      <c r="D16" s="16"/>
      <c r="E16" s="16"/>
      <c r="F16" s="16"/>
      <c r="G16" s="16"/>
    </row>
    <row r="17" spans="1:7" x14ac:dyDescent="0.3">
      <c r="A17" s="16"/>
      <c r="B17" s="16"/>
      <c r="C17" s="16"/>
      <c r="D17" s="16"/>
      <c r="E17" s="16"/>
      <c r="F17" s="16"/>
      <c r="G17" s="16"/>
    </row>
    <row r="18" spans="1:7" x14ac:dyDescent="0.3">
      <c r="A18" s="16"/>
      <c r="B18" s="16"/>
      <c r="C18" s="16"/>
      <c r="D18" s="16"/>
      <c r="E18" s="16"/>
      <c r="F18" s="16"/>
      <c r="G18" s="16"/>
    </row>
    <row r="19" spans="1:7" x14ac:dyDescent="0.3">
      <c r="A19" s="16"/>
      <c r="B19" s="16"/>
      <c r="C19" s="16"/>
      <c r="D19" s="16"/>
      <c r="E19" s="16"/>
      <c r="F19" s="16"/>
      <c r="G19" s="16"/>
    </row>
    <row r="20" spans="1:7" x14ac:dyDescent="0.3">
      <c r="A20" s="16"/>
      <c r="B20" s="16"/>
      <c r="C20" s="16"/>
      <c r="D20" s="16"/>
      <c r="E20" s="16"/>
      <c r="F20" s="16"/>
      <c r="G20" s="16"/>
    </row>
    <row r="21" spans="1:7" x14ac:dyDescent="0.3">
      <c r="A21" s="16"/>
      <c r="B21" s="16"/>
      <c r="C21" s="16"/>
      <c r="D21" s="16"/>
      <c r="E21" s="16"/>
      <c r="F21" s="16"/>
      <c r="G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Trade-Off</vt:lpstr>
      <vt:lpstr>2. Mapa de Empatía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Avendano Duque</dc:creator>
  <cp:lastModifiedBy>Juan Pablo Avendano Duque</cp:lastModifiedBy>
  <dcterms:created xsi:type="dcterms:W3CDTF">2026-08-04T17:31:19Z</dcterms:created>
  <dcterms:modified xsi:type="dcterms:W3CDTF">2026-08-12T02:53:11Z</dcterms:modified>
</cp:coreProperties>
</file>