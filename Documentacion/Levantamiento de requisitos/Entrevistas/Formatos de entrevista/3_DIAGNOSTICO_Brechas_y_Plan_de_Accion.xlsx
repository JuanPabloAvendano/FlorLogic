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Diagnostico" sheetId="1" state="visible" r:id="rId1"/>
    <sheet xmlns:r="http://schemas.openxmlformats.org/officeDocument/2006/relationships" name="Estado tras Sesion 2" sheetId="2" state="visible" r:id="rId2"/>
    <sheet xmlns:r="http://schemas.openxmlformats.org/officeDocument/2006/relationships" name="Brechas y Contradicciones" sheetId="3" state="visible" r:id="rId3"/>
    <sheet xmlns:r="http://schemas.openxmlformats.org/officeDocument/2006/relationships" name="Plan de Acercamiento" sheetId="4" state="visible" r:id="rId4"/>
    <sheet xmlns:r="http://schemas.openxmlformats.org/officeDocument/2006/relationships" name="Mensajes Listos" sheetId="5" state="visible" r:id="rId5"/>
  </sheets>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dd/mm/yyyy"/>
  </numFmts>
  <fonts count="41">
    <font>
      <name val="Calibri"/>
      <charset val="1"/>
      <family val="2"/>
      <color theme="1"/>
      <sz val="11"/>
    </font>
    <font>
      <name val="Arial"/>
      <charset val="1"/>
      <b val="1"/>
      <color rgb="FF1F3864"/>
      <sz val="16"/>
    </font>
    <font>
      <name val="Arial"/>
      <charset val="1"/>
      <i val="1"/>
      <color rgb="FF595959"/>
      <sz val="10"/>
    </font>
    <font>
      <name val="Arial"/>
      <charset val="1"/>
      <b val="1"/>
      <color rgb="FF1F3864"/>
      <sz val="12"/>
    </font>
    <font>
      <name val="Arial"/>
      <charset val="1"/>
      <sz val="10"/>
    </font>
    <font>
      <name val="Arial"/>
      <charset val="1"/>
      <b val="1"/>
      <color rgb="FF000000"/>
      <sz val="10"/>
    </font>
    <font>
      <name val="Arial"/>
      <charset val="1"/>
      <b val="1"/>
      <color rgb="FF1F3864"/>
      <sz val="13"/>
    </font>
    <font>
      <name val="Arial"/>
      <charset val="1"/>
      <b val="1"/>
      <color rgb="FFFFFFFF"/>
      <sz val="10"/>
    </font>
    <font>
      <name val="Arial"/>
      <charset val="1"/>
      <b val="1"/>
      <sz val="10"/>
    </font>
    <font>
      <name val="Arial"/>
      <charset val="1"/>
      <b val="1"/>
      <sz val="11"/>
    </font>
    <font>
      <name val="Arial"/>
      <charset val="1"/>
      <sz val="9"/>
    </font>
    <font>
      <name val="Arial"/>
      <charset val="1"/>
      <b val="1"/>
      <color rgb="FFFFFFFF"/>
      <sz val="11"/>
    </font>
    <font>
      <name val="Arial"/>
      <charset val="1"/>
      <b val="1"/>
      <color rgb="FFFFFFFF"/>
      <sz val="14"/>
    </font>
    <font>
      <name val="Arial"/>
      <charset val="1"/>
      <color rgb="FFFFFFFF"/>
      <sz val="10"/>
    </font>
    <font>
      <name val="Arial"/>
      <charset val="1"/>
      <b val="1"/>
      <sz val="9"/>
    </font>
    <font>
      <name val="Arial"/>
      <charset val="1"/>
      <i val="1"/>
      <color rgb="FF0F4761"/>
      <sz val="9"/>
    </font>
    <font>
      <name val="Arial"/>
      <charset val="1"/>
      <b val="1"/>
      <color rgb="FF1F3864"/>
      <sz val="10"/>
    </font>
    <font>
      <name val="Arial"/>
      <charset val="1"/>
      <color rgb="FF1F3864"/>
      <sz val="9"/>
    </font>
    <font>
      <name val="Arial"/>
      <charset val="1"/>
      <color rgb="FF404040"/>
      <sz val="9"/>
    </font>
    <font>
      <name val="Arial"/>
      <charset val="1"/>
      <i val="1"/>
      <color rgb="FF404040"/>
      <sz val="9"/>
    </font>
    <font>
      <name val="Arial"/>
      <family val="2"/>
      <sz val="10"/>
    </font>
    <font>
      <name val="Arial"/>
      <charset val="1"/>
      <b val="1"/>
      <color rgb="FF1F3864"/>
      <sz val="14"/>
    </font>
    <font>
      <name val="Arial"/>
      <charset val="1"/>
      <b val="1"/>
      <color rgb="FF1F7A3D"/>
      <sz val="14"/>
    </font>
    <font>
      <name val="Arial"/>
      <charset val="1"/>
      <i val="1"/>
      <color rgb="FF843C0C"/>
      <sz val="10"/>
    </font>
    <font>
      <name val="Arial"/>
      <charset val="1"/>
      <color rgb="FF843C0C"/>
      <sz val="9"/>
    </font>
    <font>
      <name val="Arial"/>
      <charset val="1"/>
      <color rgb="FF404040"/>
      <sz val="10"/>
    </font>
    <font>
      <name val="Arial"/>
      <i val="1"/>
      <color rgb="00595959"/>
      <sz val="10"/>
    </font>
    <font>
      <name val="Arial"/>
      <b val="1"/>
      <color rgb="001F3864"/>
      <sz val="12"/>
    </font>
    <font>
      <name val="Arial"/>
      <sz val="10"/>
    </font>
    <font>
      <name val="Arial"/>
      <b val="1"/>
      <color rgb="00FFFFFF"/>
      <sz val="10"/>
    </font>
    <font>
      <name val="Arial"/>
      <b val="1"/>
      <sz val="9"/>
    </font>
    <font>
      <name val="Arial"/>
      <sz val="9"/>
    </font>
    <font>
      <name val="Arial"/>
      <b val="1"/>
      <color rgb="00000000"/>
      <sz val="16"/>
    </font>
    <font>
      <name val="Arial"/>
      <color rgb="00000000"/>
      <sz val="10"/>
    </font>
    <font>
      <name val="Arial"/>
      <b val="1"/>
      <color rgb="00000000"/>
      <sz val="13"/>
    </font>
    <font>
      <name val="Arial"/>
      <b val="1"/>
      <color rgb="00000000"/>
      <sz val="9"/>
    </font>
    <font>
      <name val="Arial"/>
      <color rgb="00000000"/>
      <sz val="9"/>
    </font>
    <font>
      <name val="Arial"/>
      <b val="1"/>
      <color rgb="00000000"/>
      <sz val="11"/>
    </font>
    <font>
      <name val="Arial"/>
      <b val="1"/>
      <color rgb="00000000"/>
      <sz val="12"/>
    </font>
    <font>
      <name val="Arial"/>
      <b val="1"/>
      <color rgb="00000000"/>
      <sz val="10"/>
    </font>
    <font>
      <name val="Arial"/>
      <b val="1"/>
      <sz val="10"/>
    </font>
  </fonts>
  <fills count="14">
    <fill>
      <patternFill/>
    </fill>
    <fill>
      <patternFill patternType="gray125"/>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1F3864"/>
        <bgColor rgb="FF0F4761"/>
      </patternFill>
    </fill>
    <fill>
      <patternFill patternType="solid">
        <fgColor rgb="FFF8CBAD"/>
        <bgColor rgb="FFFCE4D6"/>
      </patternFill>
    </fill>
    <fill>
      <patternFill patternType="solid">
        <fgColor rgb="FFFFFFFF"/>
        <bgColor rgb="FFF2F2F2"/>
      </patternFill>
    </fill>
    <fill>
      <patternFill patternType="solid">
        <fgColor rgb="FFF2F2F2"/>
        <bgColor rgb="FFE2EFDA"/>
      </patternFill>
    </fill>
    <fill>
      <patternFill patternType="solid">
        <fgColor rgb="00FFF2CC"/>
      </patternFill>
    </fill>
    <fill>
      <patternFill patternType="solid">
        <fgColor rgb="001F3864"/>
      </patternFill>
    </fill>
    <fill>
      <patternFill patternType="solid">
        <fgColor rgb="00E2EFDA"/>
      </patternFill>
    </fill>
    <fill>
      <patternFill patternType="solid">
        <fgColor rgb="00F8CBAD"/>
      </patternFill>
    </fill>
    <fill>
      <patternFill patternType="solid">
        <fgColor rgb="00D9E1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7">
    <xf numFmtId="0" fontId="0" fillId="0" borderId="0" pivotButton="0" quotePrefix="0" xfId="0"/>
    <xf numFmtId="0" fontId="4" fillId="0" borderId="0" applyAlignment="1" pivotButton="0" quotePrefix="0" xfId="0">
      <alignment vertical="center" wrapText="1"/>
    </xf>
    <xf numFmtId="0" fontId="4" fillId="3"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pivotButton="0" quotePrefix="0" xfId="0"/>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6" fillId="0" borderId="0" pivotButton="0" quotePrefix="0" xfId="0"/>
    <xf numFmtId="0" fontId="7" fillId="5" borderId="1" applyAlignment="1" pivotButton="0" quotePrefix="0" xfId="0">
      <alignment horizontal="center" vertical="center" wrapText="1"/>
    </xf>
    <xf numFmtId="0" fontId="8" fillId="0" borderId="1" applyAlignment="1" pivotButton="0" quotePrefix="0" xfId="0">
      <alignment vertical="top" wrapText="1"/>
    </xf>
    <xf numFmtId="1" fontId="9" fillId="3" borderId="1" applyAlignment="1" pivotButton="0" quotePrefix="0" xfId="0">
      <alignment horizontal="center"/>
    </xf>
    <xf numFmtId="9" fontId="4" fillId="0" borderId="1" applyAlignment="1" pivotButton="0" quotePrefix="0" xfId="0">
      <alignment horizontal="center"/>
    </xf>
    <xf numFmtId="2" fontId="4" fillId="0" borderId="1" applyAlignment="1" pivotButton="0" quotePrefix="0" xfId="0">
      <alignment horizontal="center"/>
    </xf>
    <xf numFmtId="0" fontId="10" fillId="0" borderId="1" applyAlignment="1" pivotButton="0" quotePrefix="0" xfId="0">
      <alignment vertical="top" wrapText="1"/>
    </xf>
    <xf numFmtId="1" fontId="9" fillId="4" borderId="1" applyAlignment="1" pivotButton="0" quotePrefix="0" xfId="0">
      <alignment horizontal="center"/>
    </xf>
    <xf numFmtId="1" fontId="9" fillId="6" borderId="1" applyAlignment="1" pivotButton="0" quotePrefix="0" xfId="0">
      <alignment horizontal="center"/>
    </xf>
    <xf numFmtId="0" fontId="11" fillId="5" borderId="0" pivotButton="0" quotePrefix="0" xfId="0"/>
    <xf numFmtId="164" fontId="12" fillId="5" borderId="0" applyAlignment="1" pivotButton="0" quotePrefix="0" xfId="0">
      <alignment horizontal="center"/>
    </xf>
    <xf numFmtId="9" fontId="13" fillId="5" borderId="0" applyAlignment="1" pivotButton="0" quotePrefix="0" xfId="0">
      <alignment horizontal="center"/>
    </xf>
    <xf numFmtId="2" fontId="13" fillId="5" borderId="0" applyAlignment="1" pivotButton="0" quotePrefix="0" xfId="0">
      <alignment horizontal="center"/>
    </xf>
    <xf numFmtId="0" fontId="7" fillId="5" borderId="0" pivotButton="0" quotePrefix="0" xfId="0"/>
    <xf numFmtId="0" fontId="8" fillId="7" borderId="0" pivotButton="0" quotePrefix="0" xfId="0"/>
    <xf numFmtId="0" fontId="8" fillId="2" borderId="0" pivotButton="0" quotePrefix="0" xfId="0"/>
    <xf numFmtId="0" fontId="7" fillId="5" borderId="1" applyAlignment="1" pivotButton="0" quotePrefix="0" xfId="0">
      <alignment horizontal="center" vertical="center"/>
    </xf>
    <xf numFmtId="0" fontId="14" fillId="6" borderId="1" applyAlignment="1" pivotButton="0" quotePrefix="0" xfId="0">
      <alignment vertical="top" wrapText="1"/>
    </xf>
    <xf numFmtId="0" fontId="14" fillId="6" borderId="1" applyAlignment="1" pivotButton="0" quotePrefix="0" xfId="0">
      <alignment horizontal="center" vertical="top"/>
    </xf>
    <xf numFmtId="0" fontId="10" fillId="6" borderId="1" applyAlignment="1" pivotButton="0" quotePrefix="0" xfId="0">
      <alignment vertical="top" wrapText="1"/>
    </xf>
    <xf numFmtId="0" fontId="15" fillId="6" borderId="1" applyAlignment="1" pivotButton="0" quotePrefix="0" xfId="0">
      <alignment vertical="top" wrapText="1"/>
    </xf>
    <xf numFmtId="0" fontId="10" fillId="0" borderId="1" applyAlignment="1" pivotButton="0" quotePrefix="0" xfId="0">
      <alignment horizontal="center" vertical="top"/>
    </xf>
    <xf numFmtId="0" fontId="14" fillId="4" borderId="1" applyAlignment="1" pivotButton="0" quotePrefix="0" xfId="0">
      <alignment vertical="top" wrapText="1"/>
    </xf>
    <xf numFmtId="0" fontId="14" fillId="4" borderId="1" applyAlignment="1" pivotButton="0" quotePrefix="0" xfId="0">
      <alignment horizontal="center" vertical="top"/>
    </xf>
    <xf numFmtId="0" fontId="10" fillId="4" borderId="1" applyAlignment="1" pivotButton="0" quotePrefix="0" xfId="0">
      <alignment vertical="top" wrapText="1"/>
    </xf>
    <xf numFmtId="0" fontId="15" fillId="4" borderId="1" applyAlignment="1" pivotButton="0" quotePrefix="0" xfId="0">
      <alignment vertical="top" wrapText="1"/>
    </xf>
    <xf numFmtId="0" fontId="14" fillId="2" borderId="1" applyAlignment="1" pivotButton="0" quotePrefix="0" xfId="0">
      <alignment vertical="top" wrapText="1"/>
    </xf>
    <xf numFmtId="0" fontId="14" fillId="2" borderId="1" applyAlignment="1" pivotButton="0" quotePrefix="0" xfId="0">
      <alignment horizontal="center" vertical="top"/>
    </xf>
    <xf numFmtId="0" fontId="10" fillId="2" borderId="1" applyAlignment="1" pivotButton="0" quotePrefix="0" xfId="0">
      <alignment vertical="top" wrapText="1"/>
    </xf>
    <xf numFmtId="0" fontId="15" fillId="2" borderId="1" applyAlignment="1" pivotButton="0" quotePrefix="0" xfId="0">
      <alignment vertical="top" wrapText="1"/>
    </xf>
    <xf numFmtId="0" fontId="14" fillId="7" borderId="1" applyAlignment="1" pivotButton="0" quotePrefix="0" xfId="0">
      <alignment vertical="top" wrapText="1"/>
    </xf>
    <xf numFmtId="0" fontId="14" fillId="7" borderId="1" applyAlignment="1" pivotButton="0" quotePrefix="0" xfId="0">
      <alignment horizontal="center" vertical="top"/>
    </xf>
    <xf numFmtId="0" fontId="10" fillId="7" borderId="1" applyAlignment="1" pivotButton="0" quotePrefix="0" xfId="0">
      <alignment vertical="top" wrapText="1"/>
    </xf>
    <xf numFmtId="0" fontId="15" fillId="7" borderId="1" applyAlignment="1" pivotButton="0" quotePrefix="0" xfId="0">
      <alignment vertical="top" wrapText="1"/>
    </xf>
    <xf numFmtId="0" fontId="10" fillId="3" borderId="1" applyAlignment="1" pivotButton="0" quotePrefix="0" xfId="0">
      <alignment horizontal="center" vertical="top"/>
    </xf>
    <xf numFmtId="0" fontId="16" fillId="3" borderId="1" applyAlignment="1" pivotButton="0" quotePrefix="0" xfId="0">
      <alignment vertical="top" wrapText="1"/>
    </xf>
    <xf numFmtId="0" fontId="10" fillId="3" borderId="1" applyAlignment="1" pivotButton="0" quotePrefix="0" xfId="0">
      <alignment vertical="top" wrapText="1"/>
    </xf>
    <xf numFmtId="0" fontId="10" fillId="7" borderId="1" applyAlignment="1" pivotButton="0" quotePrefix="0" xfId="0">
      <alignment horizontal="center" vertical="top"/>
    </xf>
    <xf numFmtId="0" fontId="16" fillId="7" borderId="1" applyAlignment="1" pivotButton="0" quotePrefix="0" xfId="0">
      <alignment vertical="top" wrapText="1"/>
    </xf>
    <xf numFmtId="0" fontId="8" fillId="2" borderId="1" pivotButton="0" quotePrefix="0" xfId="0"/>
    <xf numFmtId="0" fontId="16" fillId="0" borderId="1" applyAlignment="1" pivotButton="0" quotePrefix="0" xfId="0">
      <alignment horizontal="center" vertical="top"/>
    </xf>
    <xf numFmtId="0" fontId="17" fillId="3"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18" fillId="0" borderId="1" applyAlignment="1" pivotButton="0" quotePrefix="0" xfId="0">
      <alignment vertical="top" wrapText="1"/>
    </xf>
    <xf numFmtId="0" fontId="19" fillId="0" borderId="1" applyAlignment="1" pivotButton="0" quotePrefix="0" xfId="0">
      <alignment vertical="top" wrapText="1"/>
    </xf>
    <xf numFmtId="0" fontId="4" fillId="2" borderId="1" applyAlignment="1" pivotButton="0" quotePrefix="0" xfId="0">
      <alignment vertical="top" wrapText="1"/>
    </xf>
    <xf numFmtId="0" fontId="4" fillId="8" borderId="1" applyAlignment="1" pivotButton="0" quotePrefix="0" xfId="0">
      <alignment horizontal="center" vertical="top"/>
    </xf>
    <xf numFmtId="0" fontId="4" fillId="8" borderId="1" applyAlignment="1" pivotButton="0" quotePrefix="0" xfId="0">
      <alignment vertical="top" wrapText="1"/>
    </xf>
    <xf numFmtId="0" fontId="4" fillId="4" borderId="1" applyAlignment="1" pivotButton="0" quotePrefix="0" xfId="0">
      <alignment horizontal="center" vertical="top"/>
    </xf>
    <xf numFmtId="0" fontId="4" fillId="4" borderId="1" applyAlignment="1" pivotButton="0" quotePrefix="0" xfId="0">
      <alignment vertical="top" wrapText="1"/>
    </xf>
    <xf numFmtId="0" fontId="8" fillId="4" borderId="1" applyAlignment="1" pivotButton="0" quotePrefix="0" xfId="0">
      <alignment vertical="top" wrapText="1"/>
    </xf>
    <xf numFmtId="0" fontId="18" fillId="4" borderId="1" applyAlignment="1" pivotButton="0" quotePrefix="0" xfId="0">
      <alignment vertical="top" wrapText="1"/>
    </xf>
    <xf numFmtId="0" fontId="19" fillId="4" borderId="1" applyAlignment="1" pivotButton="0" quotePrefix="0" xfId="0">
      <alignment vertical="top" wrapText="1"/>
    </xf>
    <xf numFmtId="0" fontId="15" fillId="3" borderId="1" applyAlignment="1" pivotButton="0" quotePrefix="0" xfId="0">
      <alignment vertical="top" wrapText="1"/>
    </xf>
    <xf numFmtId="0" fontId="14" fillId="3" borderId="1" applyAlignment="1" pivotButton="0" quotePrefix="0" xfId="0">
      <alignment horizontal="center" vertical="top"/>
    </xf>
    <xf numFmtId="0" fontId="14" fillId="3" borderId="1" applyAlignment="1" pivotButton="0" quotePrefix="0" xfId="0">
      <alignment vertical="top" wrapText="1"/>
    </xf>
    <xf numFmtId="0" fontId="10" fillId="4" borderId="1" applyAlignment="1" pivotButton="0" quotePrefix="0" xfId="0">
      <alignment horizontal="center" vertical="top"/>
    </xf>
    <xf numFmtId="0" fontId="8" fillId="0" borderId="0" applyAlignment="1" pivotButton="0" quotePrefix="0" xfId="0">
      <alignment vertical="top" wrapText="1"/>
    </xf>
    <xf numFmtId="0" fontId="14" fillId="3" borderId="1" applyAlignment="1" pivotButton="0" quotePrefix="0" xfId="0">
      <alignment horizontal="center" vertical="top" wrapText="1"/>
    </xf>
    <xf numFmtId="0" fontId="10" fillId="3" borderId="1" applyAlignment="1" pivotButton="0" quotePrefix="0" xfId="0">
      <alignment horizontal="center" vertical="top" wrapText="1"/>
    </xf>
    <xf numFmtId="0" fontId="11" fillId="5" borderId="1" pivotButton="0" quotePrefix="0" xfId="0"/>
    <xf numFmtId="0" fontId="0" fillId="5" borderId="1" pivotButton="0" quotePrefix="0" xfId="0"/>
    <xf numFmtId="0" fontId="4" fillId="0" borderId="1" pivotButton="0" quotePrefix="0" xfId="0"/>
    <xf numFmtId="1" fontId="8" fillId="0" borderId="1" applyAlignment="1" pivotButton="0" quotePrefix="0" xfId="0">
      <alignment horizontal="center"/>
    </xf>
    <xf numFmtId="0" fontId="0" fillId="5" borderId="0" pivotButton="0" quotePrefix="0" xfId="0"/>
    <xf numFmtId="0" fontId="21" fillId="0" borderId="0" applyAlignment="1" pivotButton="0" quotePrefix="0" xfId="0">
      <alignment horizontal="center"/>
    </xf>
    <xf numFmtId="165" fontId="22" fillId="0" borderId="0" applyAlignment="1" pivotButton="0" quotePrefix="0" xfId="0">
      <alignment horizontal="center"/>
    </xf>
    <xf numFmtId="0" fontId="23" fillId="0" borderId="0" pivotButton="0" quotePrefix="0" xfId="0"/>
    <xf numFmtId="0" fontId="24" fillId="3" borderId="1" applyAlignment="1" pivotButton="0" quotePrefix="0" xfId="0">
      <alignment vertical="top" wrapText="1"/>
    </xf>
    <xf numFmtId="0" fontId="16" fillId="0" borderId="1" applyAlignment="1" pivotButton="0" quotePrefix="0" xfId="0">
      <alignment vertical="top" wrapText="1"/>
    </xf>
    <xf numFmtId="0" fontId="25" fillId="0" borderId="1" applyAlignment="1" pivotButton="0" quotePrefix="0" xfId="0">
      <alignment vertical="top" wrapText="1"/>
    </xf>
    <xf numFmtId="166" fontId="10" fillId="3" borderId="1" applyAlignment="1" pivotButton="0" quotePrefix="0" xfId="0">
      <alignment vertical="top" wrapText="1"/>
    </xf>
    <xf numFmtId="166" fontId="10" fillId="4" borderId="1" applyAlignment="1" pivotButton="0" quotePrefix="0" xfId="0">
      <alignment vertical="top" wrapText="1"/>
    </xf>
    <xf numFmtId="166" fontId="10" fillId="2" borderId="1" applyAlignment="1" pivotButton="0" quotePrefix="0" xfId="0">
      <alignment vertical="top" wrapText="1"/>
    </xf>
    <xf numFmtId="0" fontId="26" fillId="0" borderId="0" pivotButton="0" quotePrefix="0" xfId="0"/>
    <xf numFmtId="0" fontId="27" fillId="0" borderId="0" pivotButton="0" quotePrefix="0" xfId="0"/>
    <xf numFmtId="0" fontId="28" fillId="9" borderId="0" applyAlignment="1" pivotButton="0" quotePrefix="0" xfId="0">
      <alignment vertical="top" wrapText="1"/>
    </xf>
    <xf numFmtId="0" fontId="28" fillId="0" borderId="0" pivotButton="0" quotePrefix="0" xfId="0"/>
    <xf numFmtId="0" fontId="29" fillId="10" borderId="0" applyAlignment="1" pivotButton="0" quotePrefix="0" xfId="0">
      <alignment vertical="top" wrapText="1"/>
    </xf>
    <xf numFmtId="0" fontId="14" fillId="9" borderId="1" applyAlignment="1" pivotButton="0" quotePrefix="0" xfId="0">
      <alignment vertical="top" wrapText="1"/>
    </xf>
    <xf numFmtId="0" fontId="14" fillId="9" borderId="1" applyAlignment="1" pivotButton="0" quotePrefix="0" xfId="0">
      <alignment horizontal="center" vertical="top"/>
    </xf>
    <xf numFmtId="0" fontId="10" fillId="9" borderId="1" applyAlignment="1" pivotButton="0" quotePrefix="0" xfId="0">
      <alignment vertical="top" wrapText="1"/>
    </xf>
    <xf numFmtId="0" fontId="15" fillId="9" borderId="1" applyAlignment="1" pivotButton="0" quotePrefix="0" xfId="0">
      <alignment vertical="top" wrapText="1"/>
    </xf>
    <xf numFmtId="0" fontId="30" fillId="9" borderId="1" applyAlignment="1" pivotButton="0" quotePrefix="0" xfId="0">
      <alignment vertical="top" wrapText="1"/>
    </xf>
    <xf numFmtId="0" fontId="31" fillId="9" borderId="2" applyAlignment="1" pivotButton="0" quotePrefix="0" xfId="0">
      <alignment vertical="top" wrapText="1"/>
    </xf>
    <xf numFmtId="0" fontId="14" fillId="11" borderId="1" applyAlignment="1" pivotButton="0" quotePrefix="0" xfId="0">
      <alignment vertical="top" wrapText="1"/>
    </xf>
    <xf numFmtId="0" fontId="14" fillId="11" borderId="1" applyAlignment="1" pivotButton="0" quotePrefix="0" xfId="0">
      <alignment horizontal="center" vertical="top"/>
    </xf>
    <xf numFmtId="0" fontId="10" fillId="11" borderId="1" applyAlignment="1" pivotButton="0" quotePrefix="0" xfId="0">
      <alignment vertical="top" wrapText="1"/>
    </xf>
    <xf numFmtId="0" fontId="15" fillId="11" borderId="1" applyAlignment="1" pivotButton="0" quotePrefix="0" xfId="0">
      <alignment vertical="top" wrapText="1"/>
    </xf>
    <xf numFmtId="0" fontId="30" fillId="11" borderId="1" applyAlignment="1" pivotButton="0" quotePrefix="0" xfId="0">
      <alignment vertical="top" wrapText="1"/>
    </xf>
    <xf numFmtId="0" fontId="31" fillId="11" borderId="2" applyAlignment="1" pivotButton="0" quotePrefix="0" xfId="0">
      <alignment vertical="top" wrapText="1"/>
    </xf>
    <xf numFmtId="0" fontId="14" fillId="12" borderId="1" applyAlignment="1" pivotButton="0" quotePrefix="0" xfId="0">
      <alignment vertical="top" wrapText="1"/>
    </xf>
    <xf numFmtId="0" fontId="14" fillId="12" borderId="1" applyAlignment="1" pivotButton="0" quotePrefix="0" xfId="0">
      <alignment horizontal="center" vertical="top"/>
    </xf>
    <xf numFmtId="0" fontId="10" fillId="12" borderId="1" applyAlignment="1" pivotButton="0" quotePrefix="0" xfId="0">
      <alignment vertical="top" wrapText="1"/>
    </xf>
    <xf numFmtId="0" fontId="15" fillId="12" borderId="1" applyAlignment="1" pivotButton="0" quotePrefix="0" xfId="0">
      <alignment vertical="top" wrapText="1"/>
    </xf>
    <xf numFmtId="0" fontId="30" fillId="12" borderId="1" applyAlignment="1" pivotButton="0" quotePrefix="0" xfId="0">
      <alignment vertical="top" wrapText="1"/>
    </xf>
    <xf numFmtId="0" fontId="31" fillId="12" borderId="2" applyAlignment="1" pivotButton="0" quotePrefix="0" xfId="0">
      <alignment vertical="top" wrapText="1"/>
    </xf>
    <xf numFmtId="0" fontId="30" fillId="12" borderId="2" applyAlignment="1" pivotButton="0" quotePrefix="0" xfId="0">
      <alignment vertical="top" wrapText="1"/>
    </xf>
    <xf numFmtId="0" fontId="32" fillId="0"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11" borderId="2" applyAlignment="1" pivotButton="0" quotePrefix="0" xfId="0">
      <alignment vertical="top" wrapText="1"/>
    </xf>
    <xf numFmtId="0" fontId="36" fillId="11" borderId="2" applyAlignment="1" pivotButton="0" quotePrefix="0" xfId="0">
      <alignment vertical="top" wrapText="1"/>
    </xf>
    <xf numFmtId="9" fontId="36" fillId="11" borderId="2" applyAlignment="1" pivotButton="0" quotePrefix="0" xfId="0">
      <alignment vertical="top" wrapText="1"/>
    </xf>
    <xf numFmtId="0" fontId="35" fillId="9" borderId="2" applyAlignment="1" pivotButton="0" quotePrefix="0" xfId="0">
      <alignment vertical="top" wrapText="1"/>
    </xf>
    <xf numFmtId="0" fontId="36" fillId="9" borderId="2" applyAlignment="1" pivotButton="0" quotePrefix="0" xfId="0">
      <alignment vertical="top" wrapText="1"/>
    </xf>
    <xf numFmtId="9" fontId="36" fillId="9" borderId="2" applyAlignment="1" pivotButton="0" quotePrefix="0" xfId="0">
      <alignment vertical="top" wrapText="1"/>
    </xf>
    <xf numFmtId="0" fontId="35" fillId="12" borderId="2" applyAlignment="1" pivotButton="0" quotePrefix="0" xfId="0">
      <alignment vertical="top" wrapText="1"/>
    </xf>
    <xf numFmtId="0" fontId="36" fillId="12" borderId="2" applyAlignment="1" pivotButton="0" quotePrefix="0" xfId="0">
      <alignment vertical="top" wrapText="1"/>
    </xf>
    <xf numFmtId="9" fontId="36" fillId="12" borderId="2" applyAlignment="1" pivotButton="0" quotePrefix="0" xfId="0">
      <alignment vertical="top" wrapText="1"/>
    </xf>
    <xf numFmtId="0" fontId="37" fillId="13" borderId="0" applyAlignment="1" pivotButton="0" quotePrefix="0" xfId="0">
      <alignment vertical="top" wrapText="1"/>
    </xf>
    <xf numFmtId="0" fontId="37" fillId="13" borderId="0" pivotButton="0" quotePrefix="0" xfId="0"/>
    <xf numFmtId="0" fontId="38" fillId="13" borderId="0" pivotButton="0" quotePrefix="0" xfId="0"/>
    <xf numFmtId="9" fontId="36" fillId="13" borderId="0" pivotButton="0" quotePrefix="0" xfId="0"/>
    <xf numFmtId="0" fontId="36" fillId="13" borderId="0" applyAlignment="1" pivotButton="0" quotePrefix="0" xfId="0">
      <alignment vertical="top" wrapText="1"/>
    </xf>
    <xf numFmtId="0" fontId="39" fillId="0" borderId="0" applyAlignment="1" pivotButton="0" quotePrefix="0" xfId="0">
      <alignment vertical="top" wrapText="1"/>
    </xf>
    <xf numFmtId="0" fontId="39" fillId="11" borderId="0" applyAlignment="1" pivotButton="0" quotePrefix="0" xfId="0">
      <alignment vertical="top" wrapText="1"/>
    </xf>
    <xf numFmtId="0" fontId="33" fillId="11" borderId="0" applyAlignment="1" pivotButton="0" quotePrefix="0" xfId="0">
      <alignment vertical="top" wrapText="1"/>
    </xf>
    <xf numFmtId="0" fontId="37" fillId="9" borderId="0" applyAlignment="1" pivotButton="0" quotePrefix="0" xfId="0">
      <alignment vertical="top" wrapText="1"/>
    </xf>
    <xf numFmtId="0" fontId="33" fillId="9" borderId="0" applyAlignment="1" pivotButton="0" quotePrefix="0" xfId="0">
      <alignment vertical="top" wrapText="1"/>
    </xf>
    <xf numFmtId="0" fontId="37" fillId="11" borderId="0" pivotButton="0" quotePrefix="0" xfId="0"/>
    <xf numFmtId="0" fontId="39" fillId="9" borderId="0" applyAlignment="1" pivotButton="0" quotePrefix="0" xfId="0">
      <alignment vertical="top" wrapText="1"/>
    </xf>
    <xf numFmtId="0" fontId="37" fillId="9" borderId="0" pivotButton="0" quotePrefix="0" xfId="0"/>
    <xf numFmtId="0" fontId="39" fillId="12" borderId="0" applyAlignment="1" pivotButton="0" quotePrefix="0" xfId="0">
      <alignment vertical="top" wrapText="1"/>
    </xf>
    <xf numFmtId="0" fontId="37" fillId="12" borderId="0" pivotButton="0" quotePrefix="0" xfId="0"/>
    <xf numFmtId="0" fontId="37" fillId="0" borderId="0" pivotButton="0" quotePrefix="0" xfId="0"/>
    <xf numFmtId="0" fontId="40" fillId="9" borderId="0" applyAlignment="1" pivotButton="0" quotePrefix="0" xfId="0">
      <alignment vertical="top" wrapText="1"/>
    </xf>
    <xf numFmtId="0" fontId="36" fillId="11" borderId="0" applyAlignment="1" pivotButton="0" quotePrefix="0" xfId="0">
      <alignment vertical="top" wrapText="1"/>
    </xf>
    <xf numFmtId="0" fontId="36" fillId="9" borderId="0" applyAlignment="1" pivotButton="0" quotePrefix="0" xfId="0">
      <alignment vertical="top" wrapText="1"/>
    </xf>
    <xf numFmtId="0" fontId="36" fillId="12" borderId="0" applyAlignment="1" pivotButton="0" quotePrefix="0" xfId="0">
      <alignment vertical="top" wrapText="1"/>
    </xf>
    <xf numFmtId="0" fontId="36" fillId="0" borderId="0" applyAlignment="1" pivotButton="0" quotePrefix="0" xfId="0">
      <alignment vertical="top" wrapText="1"/>
    </xf>
    <xf numFmtId="0" fontId="35" fillId="1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3D"/>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0F4761"/>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43"/>
  <sheetViews>
    <sheetView showGridLines="0" tabSelected="1" zoomScaleNormal="100" workbookViewId="0">
      <selection activeCell="B6" sqref="B6:F6"/>
    </sheetView>
  </sheetViews>
  <sheetFormatPr baseColWidth="10" defaultColWidth="8.6640625" defaultRowHeight="14.4"/>
  <cols>
    <col width="3" customWidth="1" min="1" max="1"/>
    <col width="40" customWidth="1" min="2" max="2"/>
    <col width="10" customWidth="1" min="3" max="4"/>
    <col width="12" customWidth="1" min="5" max="5"/>
    <col width="78" customWidth="1" min="6" max="6"/>
  </cols>
  <sheetData>
    <row r="2" ht="21" customHeight="1">
      <c r="B2" s="4" t="inlineStr">
        <is>
          <t>Diagnostico y plan de accion - Sesion 1 con el Director de Produccion</t>
        </is>
      </c>
    </row>
    <row r="3">
      <c r="B3" s="89" t="inlineStr">
        <is>
          <t>Archivo independiente. Las respuestas de la entrevista y el analisis pregunta por pregunta viven en '2_ENTREVISTA_S1_Diligenciada_y_Vacios.xlsx'. La plantilla en blanco es '1_PLANTILLA_Levantamiento_Requisitos.xlsx'.</t>
        </is>
      </c>
    </row>
    <row r="4" ht="32" customHeight="1">
      <c r="B4" s="141" t="inlineStr">
        <is>
          <t>AVISO: esta hoja es el registro historico de la sesion 1 y no se ha modificado. El estado actual del levantamiento, con la calificacion recalculada tras la sesion 2 del 04-ago-2026, esta en la hoja 'Estado tras Sesion 2'.</t>
        </is>
      </c>
    </row>
    <row r="5" ht="16.8" customHeight="1"/>
    <row r="6" ht="57.75" customHeight="1">
      <c r="B6" s="14" t="inlineStr">
        <is>
          <t>Resumen general</t>
        </is>
      </c>
    </row>
    <row r="7" ht="57.75" customHeight="1">
      <c r="B7" s="7" t="inlineStr">
        <is>
          <t>La sesion salio muy bien en el terreno donde el entrevistado vive todos los dias: la estructura fisica del cultivo, el ciclo de las variedades, y sobre todo el dolor operativo de la captura de datos. Ese ultimo bloque quedo cuantificado, que es exactamente lo que se necesita para justificar el proyecto: 1 hora diaria del supervisor llenando formatos a lapiz, 4 horas semanales del practicante digitando, 8 dias de latencia hasta que planeacion y gerencia ven el dato, y un 2% de error declarado.</t>
        </is>
      </c>
    </row>
    <row r="8" ht="57.75" customHeight="1">
      <c r="B8" s="7" t="inlineStr">
        <is>
          <t>La sesion se quedo corta donde el proyecto se juega su viabilidad: el motor de proyeccion y la frontera del sistema. El cliente describio COMO decide, no COMO calcula. Frases como 'voy fisicamente a ver como va su desarrollo', 'bajar 5% de produccion' y 'no hay una herramienta predilecta' describen un juicio experto, no un algoritmo. Nadie puede programar eso todavia.</t>
        </is>
      </c>
    </row>
    <row r="9" ht="57.75" customHeight="1">
      <c r="B9" s="7" t="inlineStr">
        <is>
          <t>Hay un problema mayor y facil de pasar por alto: el cliente menciona un sistema que ya existe. Dijo 'las productividades que arroja el sistema' (P24), 'el sistema normalmente no permite ingresar informacion erronea' (P33), 'va directamente a un sistema' (P30) y 'todo esta sistematizado' (P35). Ademas ya producen reportes semanales en PowerBI (P32) y en la apertura pidio informes en BI (P01). Nunca se pregunto que sistema es, quien lo administra, ni por que no basta. Se esta levantando requisitos como si el terreno estuviera vacio y no lo esta.</t>
        </is>
      </c>
    </row>
    <row r="10" ht="57.75" customHeight="1">
      <c r="B10" s="7" t="inlineStr">
        <is>
          <t>Ese mismo 'todo esta sistematizado' contradice de frente lo que el mismo entrevistado conto en P28 (papel y lapiz) y P31 (clima manual). No es que este mintiendo: esta describiendo la intencion de la finca, no su realidad. Es la respuesta tipica que hay que ir a verificar en campo, no discutir en la reunion.</t>
        </is>
      </c>
    </row>
    <row r="11" ht="57.75" customHeight="1">
      <c r="B11" s="7" t="inlineStr">
        <is>
          <t>El horizonte cambia el problema por completo. Proyectan a 1 y hasta 1.5 anos (P21) y en dias (P20). Eso no es un pronostico de cosecha de corto plazo: es un presupuesto anual que despues se ajusta contra la realidad. Son dos funciones distintas con granularidades distintas y hoy estan mezcladas en una sola conversacion.</t>
        </is>
      </c>
    </row>
    <row r="12">
      <c r="B12" s="7" t="inlineStr">
        <is>
          <t>El bloque de cierre se perdio entero. Sin validacion del resumen, sin nombres de otros entrevistados, sin datos de muestra y sin segunda sesion agendada. Es la parte mas facil de recuperar y la mas urgente: cuatro preguntas por mensaje resuelven el 80% de eso hoy mismo.</t>
        </is>
      </c>
    </row>
    <row r="13" ht="16.8" customHeight="1"/>
    <row r="14" ht="33.75" customHeight="1">
      <c r="B14" s="14" t="inlineStr">
        <is>
          <t>Calificacion de contexto por dimension</t>
        </is>
      </c>
    </row>
    <row r="15" ht="55.5" customHeight="1">
      <c r="B15" s="15" t="inlineStr">
        <is>
          <t>Dimension</t>
        </is>
      </c>
      <c r="C15" s="15" t="inlineStr">
        <is>
          <t>Nota /10</t>
        </is>
      </c>
      <c r="D15" s="15" t="inlineStr">
        <is>
          <t>Peso</t>
        </is>
      </c>
      <c r="E15" s="15" t="inlineStr">
        <is>
          <t>Ponderado</t>
        </is>
      </c>
      <c r="F15" s="15" t="inlineStr">
        <is>
          <t>Por que esa nota</t>
        </is>
      </c>
    </row>
    <row r="16" ht="55.5" customHeight="1">
      <c r="B16" s="16" t="inlineStr">
        <is>
          <t>Objetivo de negocio y metrica de exito</t>
        </is>
      </c>
      <c r="C16" s="17" t="n">
        <v>6</v>
      </c>
      <c r="D16" s="18" t="n">
        <v>0.08</v>
      </c>
      <c r="E16" s="19">
        <f>C15*D15</f>
        <v/>
      </c>
      <c r="F16" s="20" t="inlineStr">
        <is>
          <t>El disparador esta claro (ciclo de 3-5 meses obliga a decidir con mucha anticipacion) y los usos de la proyeccion son concretos. Pero 'eficiencia en toma de decisiones' no es una meta medible: no hay un numero que el proyecto se comprometa a mover.</t>
        </is>
      </c>
    </row>
    <row r="17" ht="55.5" customHeight="1">
      <c r="B17" s="16" t="inlineStr">
        <is>
          <t>Modelo del dominio: jerarquia, variedades, ciclos</t>
        </is>
      </c>
      <c r="C17" s="17" t="n">
        <v>8</v>
      </c>
      <c r="D17" s="18" t="n">
        <v>0.12</v>
      </c>
      <c r="E17" s="19">
        <f>C16*D16</f>
        <v/>
      </c>
      <c r="F17" s="20" t="inlineStr">
        <is>
          <t>Lo mejor de la sesion. Finca &gt; bloque &gt; nave &gt; cama &gt; variedad, 15 ha, 9 variedades activas, ciclo de 3 a 5 meses, subvariedades y colores dentro de una cama, renovacion y erradicacion explicadas. Con esto ya se puede dibujar el modelo de datos.</t>
        </is>
      </c>
    </row>
    <row r="18" ht="55.5" customHeight="1">
      <c r="B18" s="16" t="inlineStr">
        <is>
          <t>Logica de proyeccion: el motor de calculo</t>
        </is>
      </c>
      <c r="C18" s="21" t="n">
        <v>4</v>
      </c>
      <c r="D18" s="18" t="n">
        <v>0.18</v>
      </c>
      <c r="E18" s="19">
        <f>C17*D17</f>
        <v/>
      </c>
      <c r="F18" s="20" t="inlineStr">
        <is>
          <t>Es el corazon del sistema y esta descrito como juicio experto, no como formula. Falta: de donde sale la productividad esperada por variedad, como se distribuye la produccion en el tiempo (una cama no corta todo en un dia), y con que criterio se aplica el porcentaje de baja. Sin esto no hay nada que programar.</t>
        </is>
      </c>
    </row>
    <row r="19" ht="55.5" customHeight="1">
      <c r="B19" s="16" t="inlineStr">
        <is>
          <t>Captura de datos en campo</t>
        </is>
      </c>
      <c r="C19" s="17" t="n">
        <v>8</v>
      </c>
      <c r="D19" s="18" t="n">
        <v>0.12</v>
      </c>
      <c r="E19" s="19">
        <f>C18*D18</f>
        <v/>
      </c>
      <c r="F19" s="20" t="inlineStr">
        <is>
          <t>Muy bien cuantificado: 1 h/dia del supervisor, 4 h/semana de digitacion, 8 dias de latencia, 2% de error, sin senal en el cultivo, y el propio cliente declaro que este es el foco del proyecto (P34). Falta solo confirmar el 2% y ver los formatos reales.</t>
        </is>
      </c>
    </row>
    <row r="20" ht="55.5" customHeight="1">
      <c r="B20" s="16" t="inlineStr">
        <is>
          <t>Clasificacion comercial: grados y calidades</t>
        </is>
      </c>
      <c r="C20" s="21" t="n">
        <v>5</v>
      </c>
      <c r="D20" s="18" t="n">
        <v>0.08</v>
      </c>
      <c r="E20" s="19">
        <f>C19*D19</f>
        <v/>
      </c>
      <c r="F20" s="20" t="inlineStr">
        <is>
          <t>El concepto quedo claro y bien explicado (grado agrupa calidades: longitud, tamano, numero de flores, grosor, follaje) y que cada finca los define. Falta lo operativo: el catalogo de grados de ESTA finca y el porcentaje historico que cae en cada uno por variedad.</t>
        </is>
      </c>
    </row>
    <row r="21" ht="55.5" customHeight="1">
      <c r="B21" s="16" t="inlineStr">
        <is>
          <t>Sistemas existentes e integraciones</t>
        </is>
      </c>
      <c r="C21" s="22" t="n">
        <v>2</v>
      </c>
      <c r="D21" s="18" t="n">
        <v>0.15</v>
      </c>
      <c r="E21" s="19">
        <f>C20*D20</f>
        <v/>
      </c>
      <c r="F21" s="20" t="inlineStr">
        <is>
          <t>La brecha mas peligrosa. Hay al menos un sistema en uso, PowerBI produciendo reportes semanales, y nomina y contabilidad de fondo. Nada de eso fue explorado. No se sabe si el proyecto reemplaza, alimenta o convive.</t>
        </is>
      </c>
    </row>
    <row r="22" ht="55.5" customHeight="1">
      <c r="B22" s="16" t="inlineStr">
        <is>
          <t>Frontera del alcance</t>
        </is>
      </c>
      <c r="C22" s="22" t="n">
        <v>3</v>
      </c>
      <c r="D22" s="18" t="n">
        <v>0.1</v>
      </c>
      <c r="E22" s="19">
        <f>C21*D21</f>
        <v/>
      </c>
      <c r="F22" s="20" t="inlineStr">
        <is>
          <t>El cruce con pedidos quedo en 'se sale del dominio pero se puede dejar abierto' (P25), que no es una decision. Y no esta definido si el entregable es la capa de captura que alimenta el BI actual o un sistema de reportes nuevo. Esa sola ambiguedad puede duplicar el costo.</t>
        </is>
      </c>
    </row>
    <row r="23" ht="55.5" customHeight="1">
      <c r="B23" s="16" t="inlineStr">
        <is>
          <t>Roles, permisos y seguridad</t>
        </is>
      </c>
      <c r="C23" s="22" t="n">
        <v>3</v>
      </c>
      <c r="D23" s="18" t="n">
        <v>0.04</v>
      </c>
      <c r="E23" s="19">
        <f>C22*D22</f>
        <v/>
      </c>
      <c r="F23" s="20" t="inlineStr">
        <is>
          <t>Contradiccion directa: P38 dice que todos pueden ver todo, pero P08 habla de gerencia 'con privilegios'. Nunca se toco costos ni precios de venta, que es justo lo que suele restringirse.</t>
        </is>
      </c>
    </row>
    <row r="24" ht="55.5" customHeight="1">
      <c r="B24" s="16" t="inlineStr">
        <is>
          <t>Requisitos no funcionales</t>
        </is>
      </c>
      <c r="C24" s="22" t="n">
        <v>3</v>
      </c>
      <c r="D24" s="18" t="n">
        <v>0.05</v>
      </c>
      <c r="E24" s="19">
        <f>C23*D23</f>
        <v/>
      </c>
      <c r="F24" s="20" t="inlineStr">
        <is>
          <t>Solo hay un numero: la temporada pico es 60% mayor. Falta volumen diario de registros, usuarios concurrentes, cuanto tiempo pueden operar caidos y con que dispositivos cuentan los supervisores. 'Perderia todo su valor si falla' es un sentimiento, no un requisito.</t>
        </is>
      </c>
    </row>
    <row r="25" ht="55.5" customHeight="1">
      <c r="B25" s="16" t="inlineStr">
        <is>
          <t>Regulatorio (Florverde)</t>
        </is>
      </c>
      <c r="C25" s="22" t="n">
        <v>3</v>
      </c>
      <c r="D25" s="18" t="n">
        <v>0.03</v>
      </c>
      <c r="E25" s="19">
        <f>C24*D24</f>
        <v/>
      </c>
      <c r="F25" s="20" t="inlineStr">
        <is>
          <t>Se identifico el sello y su proposito, pero no que registros exige, con que formato ni cada cuanto auditan. Como es no negociable, conviene cerrarlo temprano.</t>
        </is>
      </c>
    </row>
    <row r="26" ht="17.4" customHeight="1">
      <c r="B26" s="16" t="inlineStr">
        <is>
          <t>Cobertura de stakeholders y validacion</t>
        </is>
      </c>
      <c r="C26" s="22" t="n">
        <v>2</v>
      </c>
      <c r="D26" s="18" t="n">
        <v>0.05</v>
      </c>
      <c r="E26" s="19">
        <f>C25*D25</f>
        <v/>
      </c>
      <c r="F26" s="20" t="inlineStr">
        <is>
          <t>Una sola persona entrevistada, para un sistema que segun el mismo cliente sirve a planeacion, produccion, ventas, compras y gerencia. Y el cierre no se hizo: sin resumen validado, sin contactos, sin datos, sin segunda sesion.</t>
        </is>
      </c>
    </row>
    <row r="27">
      <c r="B27" s="23" t="inlineStr">
        <is>
          <t>CALIFICACION GLOBAL DE CONTEXTO</t>
        </is>
      </c>
      <c r="C27" s="24">
        <f>SUMPRODUCT(C15:C25,D15:D25)</f>
        <v/>
      </c>
      <c r="D27" s="25">
        <f>SUM(D15:D25)</f>
        <v/>
      </c>
      <c r="E27" s="26">
        <f>SUM(E15:E25)</f>
        <v/>
      </c>
      <c r="F27" s="27" t="inlineStr">
        <is>
          <t>Sobre 10. Interpretacion abajo.</t>
        </is>
      </c>
    </row>
    <row r="28" ht="15.6" customHeight="1"/>
    <row r="29" ht="25.5" customHeight="1">
      <c r="B29" s="9" t="inlineStr">
        <is>
          <t>Que significa esa nota</t>
        </is>
      </c>
    </row>
    <row r="30" ht="25.5" customHeight="1">
      <c r="B30" s="28" t="inlineStr">
        <is>
          <t>8 - 10</t>
        </is>
      </c>
      <c r="C30" s="7" t="inlineStr">
        <is>
          <t>Listo para estimar y arrancar diseno detallado.</t>
        </is>
      </c>
    </row>
    <row r="31" ht="25.5" customHeight="1">
      <c r="B31" s="28" t="inlineStr">
        <is>
          <t>6 - 7.9</t>
        </is>
      </c>
      <c r="C31" s="7" t="inlineStr">
        <is>
          <t>Suficiente para una propuesta de solucion y un estimado con rango amplio. Faltan cierres puntuales.</t>
        </is>
      </c>
    </row>
    <row r="32" ht="25.5" customHeight="1">
      <c r="B32" s="29" t="inlineStr">
        <is>
          <t>4 - 5.9</t>
        </is>
      </c>
      <c r="C32" s="7" t="inlineStr">
        <is>
          <t>Alcanza para un concepto de solucion y una propuesta comercial preliminar. NO alcanza para estimar esfuerzo ni para empezar a construir. Es donde esta este caso.</t>
        </is>
      </c>
    </row>
    <row r="33">
      <c r="B33" s="28" t="inlineStr">
        <is>
          <t>&lt; 4</t>
        </is>
      </c>
      <c r="C33" s="7" t="inlineStr">
        <is>
          <t>Solo alcanza para saber que hay un problema. Cualquier cifra que des sera un invento.</t>
        </is>
      </c>
    </row>
    <row r="34" ht="15.6" customHeight="1"/>
    <row r="35" ht="37.5" customHeight="1">
      <c r="B35" s="9" t="inlineStr">
        <is>
          <t>Lo que hiciste bien y conviene repetir</t>
        </is>
      </c>
    </row>
    <row r="36" ht="37.5" customHeight="1">
      <c r="B36" s="2" t="inlineStr">
        <is>
          <t>Registraste vocabulario del cliente en sus propias palabras (desbotone, boton color, baja de produccion, esqueje). Eso vale oro: te permite hablar su idioma en la proxima sesion y detectar despues cuando dos personas usan el mismo termino distinto.</t>
        </is>
      </c>
    </row>
    <row r="37" ht="37.5" customHeight="1">
      <c r="B37" s="2" t="inlineStr">
        <is>
          <t>Anotaste las definiciones que el cliente dio por su cuenta, como la de 'baja de produccion' y la de 'siembra'. Esas definiciones son reglas de negocio disfrazadas.</t>
        </is>
      </c>
    </row>
    <row r="38" ht="37.5" customHeight="1">
      <c r="B38" s="2" t="inlineStr">
        <is>
          <t>Partiste P07 en dos (proyeccion de ventas y proyeccion de produccion) al notar que el cliente distinguia entre ambas. Adaptar el guion en vivo es exactamente lo correcto.</t>
        </is>
      </c>
    </row>
    <row r="39">
      <c r="B39" s="2" t="inlineStr">
        <is>
          <t>Conseguiste numeros donde importaba: 15 ha, 9 variedades, 3-5 meses de ciclo, 1 h/dia, 4 h/semana, 8 dias, 2%, 6%, 60%. Un levantamiento sin cifras no se puede defender ante nadie.</t>
        </is>
      </c>
    </row>
    <row r="42" ht="62" customHeight="1">
      <c r="B42" s="90" t="inlineStr">
        <is>
          <t>Relacion con la calificacion del archivo 2</t>
        </is>
      </c>
    </row>
    <row r="43">
      <c r="B43" s="91" t="inlineStr">
        <is>
          <t>El archivo 2 califica pregunta por pregunta y da un promedio simple de 5.5 sobre 10. Esta hoja pondera por dimension y da 4.6. La diferencia no es un error: el promedio simple trata las 46 preguntas como si pesaran lo mismo. La ponderada castiga que las brechas esten justo donde el proyecto se juega la viabilidad, que es el motor de calculo y la frontera con lo que ya existe. Usa el archivo 2 para saber que re-preguntar y esta hoja para decidir si ya puedes estimar.</t>
        </is>
      </c>
    </row>
  </sheetData>
  <mergeCells count="15">
    <mergeCell ref="C31:F31"/>
    <mergeCell ref="B7:F7"/>
    <mergeCell ref="B6:F6"/>
    <mergeCell ref="B38:F38"/>
    <mergeCell ref="B10:F10"/>
    <mergeCell ref="B11:F11"/>
    <mergeCell ref="B42:F42"/>
    <mergeCell ref="B37:F37"/>
    <mergeCell ref="C29:F29"/>
    <mergeCell ref="C30:F30"/>
    <mergeCell ref="B36:F36"/>
    <mergeCell ref="C32:F32"/>
    <mergeCell ref="B8:F8"/>
    <mergeCell ref="B9:F9"/>
    <mergeCell ref="B35:F3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F49"/>
  <sheetViews>
    <sheetView workbookViewId="0">
      <selection activeCell="A1" sqref="A1"/>
    </sheetView>
  </sheetViews>
  <sheetFormatPr baseColWidth="8" defaultRowHeight="15"/>
  <cols>
    <col width="3" customWidth="1" min="1" max="1"/>
    <col width="42" customWidth="1" min="2" max="2"/>
    <col width="10" customWidth="1" min="3" max="3"/>
    <col width="9" customWidth="1" min="4" max="4"/>
    <col width="11" customWidth="1" min="5" max="5"/>
    <col width="86" customWidth="1" min="6" max="6"/>
  </cols>
  <sheetData>
    <row r="2">
      <c r="B2" s="113" t="inlineStr">
        <is>
          <t>Estado del levantamiento tras la sesion 2</t>
        </is>
      </c>
    </row>
    <row r="3">
      <c r="B3" s="114" t="inlineStr">
        <is>
          <t>Actualizado el 05-ago-2026. La hoja 'Diagnostico' se conserva sin tocar como registro historico de la sesion 1. Esta hoja la reemplaza como foto actual.</t>
        </is>
      </c>
    </row>
    <row r="5">
      <c r="B5" s="115" t="inlineStr">
        <is>
          <t>Que paso en la sesion 2 (04-ago-2026)</t>
        </is>
      </c>
    </row>
    <row r="6" ht="42" customHeight="1">
      <c r="B6" s="114" t="inlineStr">
        <is>
          <t>La sesion recorrio las brechas de este archivo una por una, hizo el taller de atributos de calidad y cerro la definicion de roles. Fue una sesion de cierre, no de descubrimiento, y por eso rindio tanto: de 20 brechas abiertas, 9 quedaron cerradas y 7 avanzaron a parcial.</t>
        </is>
      </c>
    </row>
    <row r="7" ht="42" customHeight="1">
      <c r="B7" s="114" t="inlineStr">
        <is>
          <t>El avance mas importante no es el numero de brechas cerradas sino DONDE se cerraron. La frontera del alcance paso de 3 a 8: el cruce con pedidos y clientes queda fuera de la fase 1, Florverde queda fuera, personal e insumos quedan fuera. Esa sola definicion es la que evitaba que el proyecto costara el doble.</t>
        </is>
      </c>
    </row>
    <row r="8" ht="42" customHeight="1">
      <c r="B8" s="114" t="inlineStr">
        <is>
          <t>El motor de proyeccion, que era la brecha que hundia la calificacion, dejo de ser juicio experto y paso a tener estructura: area de cama por densidad de siembra da las plantas, plantas por porcentaje de productividad da los tallos, y hay un tope duro del 100% que funciona como validacion. Todavia faltan el origen del porcentaje y la curva de reparto en los 7 dias de corte, pero ya hay algo que programar.</t>
        </is>
      </c>
    </row>
    <row r="9" ht="42" customHeight="1">
      <c r="B9" s="114" t="inlineStr">
        <is>
          <t>Se resolvieron las cuatro contradicciones de la sesion 1. La conectividad no era contradiccion sino arquitectura offline-first. El 'todo esta sistematizado' se referia a las actividades, no a la siembra. El 6% compara presupuestado contra cortado real. Y las 'variedades dentro del ciclo' eran ACTIVIDADES.</t>
        </is>
      </c>
    </row>
    <row r="10" ht="42" customHeight="1">
      <c r="B10" s="114" t="inlineStr">
        <is>
          <t>Lo que no avanzo nada: los documentos. Plan de siembra, presupuestos, formatos en papel llenos, tabla de grados, historico por cama. Todo se volvio a prometer y nada llego. Hoy ese es el bloqueo real del proyecto, no las preguntas.</t>
        </is>
      </c>
    </row>
    <row r="11" ht="42" customHeight="1">
      <c r="B11" s="114" t="inlineStr">
        <is>
          <t>Aparecieron cinco brechas nuevas al analizar la transcripcion. La mas seria es BR-21: el 6% actual y el +/-10% de meta no parecen medirse al mismo nivel de agregacion, y de eso depende la linea base del proyecto.</t>
        </is>
      </c>
    </row>
    <row r="13">
      <c r="B13" s="115" t="inlineStr">
        <is>
          <t>Calificacion de contexto por dimension</t>
        </is>
      </c>
    </row>
    <row r="14">
      <c r="B14" s="93" t="inlineStr">
        <is>
          <t>Dimension</t>
        </is>
      </c>
      <c r="C14" s="93" t="inlineStr">
        <is>
          <t>Sesion 1</t>
        </is>
      </c>
      <c r="D14" s="93" t="inlineStr">
        <is>
          <t>Ahora</t>
        </is>
      </c>
      <c r="E14" s="93" t="inlineStr">
        <is>
          <t>Peso</t>
        </is>
      </c>
      <c r="F14" s="93" t="inlineStr">
        <is>
          <t>Por que cambio</t>
        </is>
      </c>
    </row>
    <row r="15" ht="48" customHeight="1">
      <c r="B15" s="116" t="inlineStr">
        <is>
          <t>Objetivo de negocio y metrica de exito</t>
        </is>
      </c>
      <c r="C15" s="117" t="n">
        <v>6</v>
      </c>
      <c r="D15" s="116" t="n">
        <v>9</v>
      </c>
      <c r="E15" s="118" t="n">
        <v>0.08</v>
      </c>
      <c r="F15" s="117" t="inlineStr">
        <is>
          <t>El cliente acepto las tres metas propuestas (dato en menos de 24 h en vez de 8 dias, eliminar las 4 h de digitacion, bajar el error de captura) y anadio una cuarta suya con numero: proyecciones dentro del +/-10%. Ya hay algo que se puede declarar cumplido o incumplido.</t>
        </is>
      </c>
    </row>
    <row r="16" ht="48" customHeight="1">
      <c r="B16" s="116" t="inlineStr">
        <is>
          <t>Modelo del dominio: jerarquia, variedades, ciclos</t>
        </is>
      </c>
      <c r="C16" s="117" t="n">
        <v>8</v>
      </c>
      <c r="D16" s="116" t="n">
        <v>8</v>
      </c>
      <c r="E16" s="118" t="n">
        <v>0.12</v>
      </c>
      <c r="F16" s="117" t="inlineStr">
        <is>
          <t>Gano mucho detalle: 25 bloques, ~1525 camas, densidad de siembra por m2 definida por el agronomo, corte de ~7 dias, desbotone a corte 3 semanas, boton color a corte 12 dias. Pero aparecio la contradiccion de 9 contra 300 variedades (BR-22), que compensa la ganancia.</t>
        </is>
      </c>
    </row>
    <row r="17" ht="48" customHeight="1">
      <c r="B17" s="119" t="inlineStr">
        <is>
          <t>Logica de proyeccion: el motor de calculo</t>
        </is>
      </c>
      <c r="C17" s="120" t="n">
        <v>4</v>
      </c>
      <c r="D17" s="119" t="n">
        <v>6</v>
      </c>
      <c r="E17" s="121" t="n">
        <v>0.18</v>
      </c>
      <c r="F17" s="120" t="inlineStr">
        <is>
          <t>De juicio experto a formula parcial. Ya hay estructura, unidades y un tope duro que sirve de validacion. Sigue sin resolverse de donde sale el porcentaje de productividad por variedad y como se reparte el corte en el tiempo (BR-23).</t>
        </is>
      </c>
    </row>
    <row r="18" ht="48" customHeight="1">
      <c r="B18" s="116" t="inlineStr">
        <is>
          <t>Captura de datos en campo</t>
        </is>
      </c>
      <c r="C18" s="117" t="n">
        <v>8</v>
      </c>
      <c r="D18" s="116" t="n">
        <v>9</v>
      </c>
      <c r="E18" s="118" t="n">
        <v>0.12</v>
      </c>
      <c r="F18" s="117" t="inlineStr">
        <is>
          <t>La conectividad quedo resuelta como offline-first, con un precedente que ya funciona en la finca (la app de plagas). Se cuantificaron los usuarios: 3 capturan, ~12 usan, ~20 consultan. Falta la foto de los formatos y el volumen de registros en dia pico.</t>
        </is>
      </c>
    </row>
    <row r="19" ht="48" customHeight="1">
      <c r="B19" s="119" t="inlineStr">
        <is>
          <t>Clasificacion comercial: grados y calidades</t>
        </is>
      </c>
      <c r="C19" s="120" t="n">
        <v>5</v>
      </c>
      <c r="D19" s="119" t="n">
        <v>5</v>
      </c>
      <c r="E19" s="121" t="n">
        <v>0.08</v>
      </c>
      <c r="F19" s="120" t="inlineStr">
        <is>
          <t>No avanzo. El catalogo se volvio a pedir y se volvio a quedar en 'esta dentro del sistema'. Sin el, la proyeccion solo da un total de tallos, que comercialmente no sirve para vender.</t>
        </is>
      </c>
    </row>
    <row r="20" ht="48" customHeight="1">
      <c r="B20" s="122" t="inlineStr">
        <is>
          <t>Sistemas existentes e integraciones</t>
        </is>
      </c>
      <c r="C20" s="123" t="n">
        <v>2</v>
      </c>
      <c r="D20" s="122" t="n">
        <v>4</v>
      </c>
      <c r="E20" s="124" t="n">
        <v>0.15</v>
      </c>
      <c r="F20" s="123" t="inlineStr">
        <is>
          <t>Se supo el PARA QUE (migrar el motor de base de datos a algo robusto, con app movil y web) y que PowerBI se replantea con otro enfoque. Pero el sistema sigue sin nombre, sin pantallazo y sin export. Sigue siendo la brecha que mas puede cambiar el proyecto.</t>
        </is>
      </c>
    </row>
    <row r="21" ht="48" customHeight="1">
      <c r="B21" s="116" t="inlineStr">
        <is>
          <t>Frontera del alcance</t>
        </is>
      </c>
      <c r="C21" s="117" t="n">
        <v>3</v>
      </c>
      <c r="D21" s="116" t="n">
        <v>8</v>
      </c>
      <c r="E21" s="118" t="n">
        <v>0.1</v>
      </c>
      <c r="F21" s="117" t="inlineStr">
        <is>
          <t>El salto mas grande de la sesion. Fuera de fase 1: cruce con pedidos y clientes, Florverde, personal e insumos. Dentro: captura offline, proyeccion, erradicaciones, trazabilidad y parametrizacion. Ya se puede escribir un documento de alcance.</t>
        </is>
      </c>
    </row>
    <row r="22" ht="48" customHeight="1">
      <c r="B22" s="116" t="inlineStr">
        <is>
          <t>Roles, permisos y seguridad</t>
        </is>
      </c>
      <c r="C22" s="117" t="n">
        <v>3</v>
      </c>
      <c r="D22" s="116" t="n">
        <v>8</v>
      </c>
      <c r="E22" s="118" t="n">
        <v>0.04</v>
      </c>
      <c r="F22" s="117" t="inlineStr">
        <is>
          <t>Tres roles definidos con permisos concretos. La unica restriccion real es el precio de venta frente a supervisores y auxiliares; entre bloques no hay restriccion. Se acabo la contradiccion entre 'todos ven todo' y 'gerencia con privilegios'.</t>
        </is>
      </c>
    </row>
    <row r="23" ht="48" customHeight="1">
      <c r="B23" s="116" t="inlineStr">
        <is>
          <t>Requisitos no funcionales</t>
        </is>
      </c>
      <c r="C23" s="117" t="n">
        <v>3</v>
      </c>
      <c r="D23" s="116" t="n">
        <v>7</v>
      </c>
      <c r="E23" s="118" t="n">
        <v>0.05</v>
      </c>
      <c r="F23" s="117" t="inlineStr">
        <is>
          <t>Se priorizaron 14 atributos de calidad, se fijo la tolerancia de caida en ~1 hora con plan B en papel, y el pico se desgloso: +60% tallos, +60% registros, +30-40% personal. Falta el volumen absoluto de registros en dia pico.</t>
        </is>
      </c>
    </row>
    <row r="24" ht="48" customHeight="1">
      <c r="B24" s="116" t="inlineStr">
        <is>
          <t>Regulatorio (Florverde)</t>
        </is>
      </c>
      <c r="C24" s="117" t="n">
        <v>3</v>
      </c>
      <c r="D24" s="116" t="n">
        <v>8</v>
      </c>
      <c r="E24" s="118" t="n">
        <v>0.03</v>
      </c>
      <c r="F24" s="117" t="inlineStr">
        <is>
          <t>No se resolvio: se EXCLUYO del alcance por decision explicita del cliente. Una exclusion documentada vale tanto como un requisito cerrado, porque elimina el riesgo de descubrirlo tarde.</t>
        </is>
      </c>
    </row>
    <row r="25" ht="48" customHeight="1">
      <c r="B25" s="122" t="inlineStr">
        <is>
          <t>Cobertura de stakeholders y validacion</t>
        </is>
      </c>
      <c r="C25" s="123" t="n">
        <v>2</v>
      </c>
      <c r="D25" s="122" t="n">
        <v>3</v>
      </c>
      <c r="E25" s="124" t="n">
        <v>0.05</v>
      </c>
      <c r="F25" s="123" t="inlineStr">
        <is>
          <t>Si hubo validacion del entendimiento de la sesion 1, que es lo que faltaba. Pero el cliente rechazo ampliar la lista de entrevistados, asi que planeacion, ventas y calidad siguen sin voz. Es un riesgo aceptado, no cerrado (BR-25).</t>
        </is>
      </c>
    </row>
    <row r="26">
      <c r="B26" s="125" t="inlineStr">
        <is>
          <t>CALIFICACION GLOBAL DE CONTEXTO</t>
        </is>
      </c>
      <c r="C26" s="126">
        <f>ROUND(SUMPRODUCT(C15:C25,E15:E25),1)</f>
        <v/>
      </c>
      <c r="D26" s="127">
        <f>ROUND(SUMPRODUCT(D15:D25,E15:E25),1)</f>
        <v/>
      </c>
      <c r="E26" s="128">
        <f>SUM(E15:E25)</f>
        <v/>
      </c>
      <c r="F26" s="129" t="inlineStr">
        <is>
          <t>Sobre 10, ponderado por dimension. Las celdas son formulas: si cambias una nota o un peso, el global se recalcula solo.</t>
        </is>
      </c>
    </row>
    <row r="28">
      <c r="B28" s="115" t="inlineStr">
        <is>
          <t>Como se lee esa nota</t>
        </is>
      </c>
    </row>
    <row r="29">
      <c r="B29" s="130" t="inlineStr">
        <is>
          <t>8 - 10</t>
        </is>
      </c>
      <c r="F29" s="114" t="inlineStr">
        <is>
          <t>Listo para estimar esfuerzo y arrancar diseno detallado.</t>
        </is>
      </c>
    </row>
    <row r="30">
      <c r="B30" s="131" t="inlineStr">
        <is>
          <t>6 - 7.9</t>
        </is>
      </c>
      <c r="F30" s="132" t="inlineStr">
        <is>
          <t>Suficiente para una propuesta de solucion y un estimado con rango amplio. Faltan cierres puntuales. ES DONDE ESTA EL PROYECTO AHORA.</t>
        </is>
      </c>
    </row>
    <row r="31">
      <c r="B31" s="130" t="inlineStr">
        <is>
          <t>4 - 5.9</t>
        </is>
      </c>
      <c r="F31" s="114" t="inlineStr">
        <is>
          <t>Alcanza para un concepto de solucion. No alcanza para estimar ni construir. Aqui estaba tras la sesion 1.</t>
        </is>
      </c>
    </row>
    <row r="32">
      <c r="B32" s="130" t="inlineStr">
        <is>
          <t>&lt; 4</t>
        </is>
      </c>
      <c r="F32" s="114" t="inlineStr">
        <is>
          <t>Solo alcanza para saber que hay un problema.</t>
        </is>
      </c>
    </row>
    <row r="34">
      <c r="B34" s="115" t="inlineStr">
        <is>
          <t>El cliente se autocalifico</t>
        </is>
      </c>
    </row>
    <row r="35" ht="70" customHeight="1">
      <c r="B35" s="133" t="inlineStr">
        <is>
          <t>5 / 10</t>
        </is>
      </c>
      <c r="F35" s="134" t="inlineStr">
        <is>
          <t>Al final de la sesion 2, sobre el contexto que habia entregado: 'de uno sobre 10 es un 5. Esta muy mal, por eso hay que volverla a hacer y por eso saque estas preguntas, y posiblemente toca volverlas a hacer hasta conseguir un 9 con algo'. Su 5 y el 6.7 de arriba no miden lo mismo: el califica lo que el explico, esta hoja califica lo que quedo documentado. Que el cliente pida llegar a 9 es la mejor senal de la sesion: no hay que convencerlo de seguir profundizando.</t>
        </is>
      </c>
    </row>
    <row r="37">
      <c r="B37" s="115" t="inlineStr">
        <is>
          <t>Conteo de brechas</t>
        </is>
      </c>
    </row>
    <row r="38">
      <c r="B38" s="131" t="inlineStr">
        <is>
          <t>Cerradas</t>
        </is>
      </c>
      <c r="C38" s="135">
        <f>COUNTIF('Brechas y Contradicciones'!J5:J29,"Cerrada")</f>
        <v/>
      </c>
    </row>
    <row r="39">
      <c r="B39" s="136" t="inlineStr">
        <is>
          <t>Parciales</t>
        </is>
      </c>
      <c r="C39" s="137">
        <f>COUNTIF('Brechas y Contradicciones'!J5:J29,"Parcial")</f>
        <v/>
      </c>
    </row>
    <row r="40">
      <c r="B40" s="138" t="inlineStr">
        <is>
          <t>Abiertas</t>
        </is>
      </c>
      <c r="C40" s="139">
        <f>COUNTIF('Brechas y Contradicciones'!J5:J29,"Abierta")</f>
        <v/>
      </c>
    </row>
    <row r="41">
      <c r="B41" s="138" t="inlineStr">
        <is>
          <t>Criticas que siguen sin cerrar</t>
        </is>
      </c>
      <c r="C41" s="139">
        <f>COUNTIFS('Brechas y Contradicciones'!B5:B29,"Critica",'Brechas y Contradicciones'!J5:J29,"&lt;&gt;Cerrada")</f>
        <v/>
      </c>
    </row>
    <row r="42">
      <c r="B42" s="130" t="inlineStr">
        <is>
          <t>Total de brechas registradas</t>
        </is>
      </c>
      <c r="C42" s="140">
        <f>COUNTA('Brechas y Contradicciones'!A5:A29)</f>
        <v/>
      </c>
    </row>
    <row r="44">
      <c r="B44" s="115" t="inlineStr">
        <is>
          <t>Lo unico que importa ahora</t>
        </is>
      </c>
    </row>
    <row r="45" ht="30" customHeight="1">
      <c r="B45" s="130" t="inlineStr">
        <is>
          <t>1</t>
        </is>
      </c>
      <c r="F45" s="114" t="inlineStr">
        <is>
          <t>Los documentos. Plan de siembra, presupuesto de produccion, formatos en papel llenos, tabla de grados y el detalle completo de UNA cama real. Nada avanza de verdad hasta que lleguen, y ya se pidieron dos veces.</t>
        </is>
      </c>
    </row>
    <row r="46" ht="30" customHeight="1">
      <c r="B46" s="130" t="inlineStr">
        <is>
          <t>2</t>
        </is>
      </c>
      <c r="F46" s="114" t="inlineStr">
        <is>
          <t>BR-21: a que nivel se miden el 6% y el +/-10%. De eso depende la metrica de exito del proyecto, y hoy la meta propuesta parece mas floja que lo que la finca ya consigue.</t>
        </is>
      </c>
    </row>
    <row r="47" ht="30" customHeight="1">
      <c r="B47" s="130" t="inlineStr">
        <is>
          <t>3</t>
        </is>
      </c>
      <c r="F47" s="114" t="inlineStr">
        <is>
          <t>BR-23: de donde sale el porcentaje de productividad por variedad y como se reparte el corte en los 7 dias. Es el ultimo hueco del motor.</t>
        </is>
      </c>
    </row>
    <row r="48" ht="30" customHeight="1">
      <c r="B48" s="130" t="inlineStr">
        <is>
          <t>4</t>
        </is>
      </c>
      <c r="F48" s="114" t="inlineStr">
        <is>
          <t>Ver el sistema actual. Un pantallazo y un export. Veinte minutos que pueden cambiar el proyecto entero (BR-01, BR-02).</t>
        </is>
      </c>
    </row>
    <row r="49" ht="30" customHeight="1">
      <c r="B49" s="130" t="inlineStr">
        <is>
          <t>5</t>
        </is>
      </c>
      <c r="F49" s="114" t="inlineStr">
        <is>
          <t>BR-22: nueve variedades o trescientas. Cambia el dimensionamiento del catalogo por dos ordenes de magnitud.</t>
        </is>
      </c>
    </row>
  </sheetData>
  <mergeCells count="6">
    <mergeCell ref="B7:F7"/>
    <mergeCell ref="B6:F6"/>
    <mergeCell ref="B10:F10"/>
    <mergeCell ref="B11:F11"/>
    <mergeCell ref="B8:F8"/>
    <mergeCell ref="B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showGridLines="0" zoomScaleNormal="100" workbookViewId="0">
      <pane ySplit="4" topLeftCell="A5" activePane="bottomLeft" state="frozen"/>
      <selection pane="bottomLeft" activeCell="A1" sqref="A1"/>
    </sheetView>
  </sheetViews>
  <sheetFormatPr baseColWidth="10" defaultColWidth="8.6640625" defaultRowHeight="14.4"/>
  <cols>
    <col width="8" customWidth="1" min="1" max="1"/>
    <col width="12" customWidth="1" min="2" max="2"/>
    <col width="16" customWidth="1" min="3" max="3"/>
    <col width="30" customWidth="1" min="4" max="4"/>
    <col width="46" customWidth="1" min="5" max="5"/>
    <col width="48" customWidth="1" min="6" max="6"/>
    <col width="60" customWidth="1" min="7" max="7"/>
    <col width="22" customWidth="1" min="8" max="8"/>
    <col width="16" customWidth="1" min="9" max="9"/>
    <col width="14" customWidth="1" min="10" max="10"/>
    <col width="58" customWidth="1" min="11" max="11"/>
    <col width="46" customWidth="1" min="12" max="12"/>
  </cols>
  <sheetData>
    <row r="1" ht="21" customHeight="1">
      <c r="A1" s="4" t="inlineStr">
        <is>
          <t>Brechas, contradicciones y como cerrarlas</t>
        </is>
      </c>
    </row>
    <row r="2">
      <c r="A2" s="92" t="inlineStr">
        <is>
          <t>Ordenado por criticidad. Actualizado el 05-ago-2026 con los resultados de la sesion 2 (04-ago). Verde = cerrada. Amarillo = parcial, avanzo pero falta algo. Naranja = abierta. Las columnas K y L dicen que respondio la sesion 2 y que sigue faltando. BR-21 a BR-25 son brechas nuevas detectadas al analizar la sesion 2.</t>
        </is>
      </c>
    </row>
    <row r="4" ht="33.75" customHeight="1">
      <c r="A4" s="15" t="inlineStr">
        <is>
          <t>ID</t>
        </is>
      </c>
      <c r="B4" s="15" t="inlineStr">
        <is>
          <t>Criticidad</t>
        </is>
      </c>
      <c r="C4" s="15" t="inlineStr">
        <is>
          <t>Tipo</t>
        </is>
      </c>
      <c r="D4" s="15" t="inlineStr">
        <is>
          <t>Tema</t>
        </is>
      </c>
      <c r="E4" s="15" t="inlineStr">
        <is>
          <t>Evidencia en la entrevista</t>
        </is>
      </c>
      <c r="F4" s="15" t="inlineStr">
        <is>
          <t>Por que importa</t>
        </is>
      </c>
      <c r="G4" s="15" t="inlineStr">
        <is>
          <t>Pregunta exacta que debes hacer</t>
        </is>
      </c>
      <c r="H4" s="15" t="inlineStr">
        <is>
          <t>A quien</t>
        </is>
      </c>
      <c r="I4" s="15" t="inlineStr">
        <is>
          <t>Canal</t>
        </is>
      </c>
      <c r="J4" s="30" t="inlineStr">
        <is>
          <t>Estado</t>
        </is>
      </c>
      <c r="K4" s="93" t="inlineStr">
        <is>
          <t>Que respondio la sesion 2 (04-ago-2026)</t>
        </is>
      </c>
      <c r="L4" s="93" t="inlineStr">
        <is>
          <t>Que falta todavia</t>
        </is>
      </c>
    </row>
    <row r="5" ht="85.5" customHeight="1">
      <c r="A5" s="94" t="inlineStr">
        <is>
          <t>BR-01</t>
        </is>
      </c>
      <c r="B5" s="95" t="inlineStr">
        <is>
          <t>Critica</t>
        </is>
      </c>
      <c r="C5" s="96" t="inlineStr">
        <is>
          <t>Brecha</t>
        </is>
      </c>
      <c r="D5" s="94" t="inlineStr">
        <is>
          <t>Sistema actual sin identificar</t>
        </is>
      </c>
      <c r="E5" s="96" t="inlineStr">
        <is>
          <t>P24: 'las productividades que arroja el sistema'. P33: 'el sistema normalmente no permite ingresar informacion erronea'. P30: 'va directamente a un sistema'. P35: 'todo esta sistematizado'.</t>
        </is>
      </c>
      <c r="F5" s="96" t="inlineStr">
        <is>
          <t>Ya existe software en operacion y no sabemos cual, quien lo administra, que guarda ni por que no basta. Sin esto no se puede decidir si el proyecto reemplaza, alimenta o convive con lo que hay, y esa decision cambia el costo por completo.</t>
        </is>
      </c>
      <c r="G5" s="97" t="inlineStr">
        <is>
          <t>Cuando dices 'el sistema', a cual te refieres exactamente? Como se llama, quien lo administra, que modulos usan hoy y que es lo que no les esta resolviendo? Podemos ver una pantalla y sacar un export de ejemplo?</t>
        </is>
      </c>
      <c r="H5" s="96" t="inlineStr">
        <is>
          <t>Director de produccion + TI</t>
        </is>
      </c>
      <c r="I5" s="96" t="inlineStr">
        <is>
          <t>Reunion 30 min</t>
        </is>
      </c>
      <c r="J5" s="98" t="inlineStr">
        <is>
          <t>Parcial</t>
        </is>
      </c>
      <c r="K5" s="99" t="inlineStr">
        <is>
          <t>Confirmado que el sistema existe y arroja productividades en tallos. El cliente NO recordo el nombre: 'el nombre se me olvido'. Dijo que se puede sacar un pantallazo. Aparecio el motivo real del proyecto: 'mejorar el motor de base de datos, llevar los datos actuales a una base robusta, y tener una aplicacion enfocada a celulares y web'.</t>
        </is>
      </c>
      <c r="L5" s="99" t="inlineStr">
        <is>
          <t>Nombre del sistema, quien lo administra, un pantallazo y un export de ejemplo. Sigue sin decidirse si FlorLogic reemplaza, alimenta o convive.</t>
        </is>
      </c>
    </row>
    <row r="6" ht="85.5" customHeight="1">
      <c r="A6" s="94" t="inlineStr">
        <is>
          <t>BR-02</t>
        </is>
      </c>
      <c r="B6" s="95" t="inlineStr">
        <is>
          <t>Critica</t>
        </is>
      </c>
      <c r="C6" s="96" t="inlineStr">
        <is>
          <t>Brecha</t>
        </is>
      </c>
      <c r="D6" s="94" t="inlineStr">
        <is>
          <t>Frontera con PowerBI</t>
        </is>
      </c>
      <c r="E6" s="96" t="inlineStr">
        <is>
          <t>P01: 'los informes deben ser presentados en BI, spreadsheets, informes dinamicos'. P32: 'los reportes son digitales a traves de PowerBI', semanales.</t>
        </is>
      </c>
      <c r="F6" s="96" t="inlineStr">
        <is>
          <t>No esta definido si el entregable es la capa de captura que alimenta el PowerBI que ya existe, o un sistema de reportes nuevo que lo reemplaza. Es la diferencia entre un proyecto y otro que cuesta el doble.</t>
        </is>
      </c>
      <c r="G6" s="97" t="inlineStr">
        <is>
          <t>El PowerBI que tienen hoy se queda y nosotros le entregamos los datos, o quieren que el sistema nuevo genere sus propios informes y el PowerBI desaparezca? Quien construye y mantiene esos tableros hoy?</t>
        </is>
      </c>
      <c r="H6" s="96" t="inlineStr">
        <is>
          <t>Director + quien arma el BI</t>
        </is>
      </c>
      <c r="I6" s="96" t="inlineStr">
        <is>
          <t>Reunion 30 min</t>
        </is>
      </c>
      <c r="J6" s="98" t="inlineStr">
        <is>
          <t>Parcial</t>
        </is>
      </c>
      <c r="K6" s="99" t="inlineStr">
        <is>
          <t>'Lo de PowerBI esta y se utiliza, pero no es la forma mas optima que puede tener el negocio. No es que no sirva, se puede mejorar cambiando el enfoque.'</t>
        </is>
      </c>
      <c r="L6" s="99" t="inlineStr">
        <is>
          <t>Decision binaria sin tomar: el PowerBI se queda y le entregamos datos, o el sistema nuevo genera sus propios informes. Y quien construye y mantiene los tableros hoy.</t>
        </is>
      </c>
    </row>
    <row r="7" ht="85.5" customHeight="1">
      <c r="A7" s="94" t="inlineStr">
        <is>
          <t>BR-03</t>
        </is>
      </c>
      <c r="B7" s="95" t="inlineStr">
        <is>
          <t>Critica</t>
        </is>
      </c>
      <c r="C7" s="96" t="inlineStr">
        <is>
          <t>Brecha</t>
        </is>
      </c>
      <c r="D7" s="94" t="inlineStr">
        <is>
          <t>El motor de proyeccion no esta definido</t>
        </is>
      </c>
      <c r="E7" s="96" t="inlineStr">
        <is>
          <t>P15: 'tengo un estimado de cuanto se va a producir', 'voy fisicamente a ver como va', 'bajar 5% de produccion'. P16: 'no quiere decir que se cuente flor por flor pero si estimados'. P24: ajuste a mano.</t>
        </is>
      </c>
      <c r="F7" s="96" t="inlineStr">
        <is>
          <t>Es el corazon del sistema y hoy es juicio experto, no formula. Faltan las tres piezas del calculo: productividad esperada por variedad, curva de distribucion del corte en el tiempo, y regla del porcentaje de baja.</t>
        </is>
      </c>
      <c r="G7" s="97" t="inlineStr">
        <is>
          <t>Necesito reconstruir tu calculo con un caso real. Tomemos una cama concreta: cuantos esquejes sembraste, cuantos tallos esperabas, en cuantos dias empezo a cortar, cuantos dias duro el corte y cuantos tallos salieron por dia. Con un ejemplo me basta para entender la logica.</t>
        </is>
      </c>
      <c r="H7" s="96" t="inlineStr">
        <is>
          <t>Director de produccion</t>
        </is>
      </c>
      <c r="I7" s="96" t="inlineStr">
        <is>
          <t>Taller 60 min</t>
        </is>
      </c>
      <c r="J7" s="98" t="inlineStr">
        <is>
          <t>Parcial</t>
        </is>
      </c>
      <c r="K7" s="99" t="inlineStr">
        <is>
          <t>Destrabada la estructura del calculo: plantas_sembradas = area_cama_m2 x densidad_siembra(variedad), donde la densidad la define el ingeniero agronomo (ej. 60 o 90 plantas/m2). tallos_proyectados = plantas_sembradas x %productividad(variedad), del orden de 80-90%. Tope duro: nunca mas del 100% de las plantas sembradas; si excede, hay dato malo. El corte de una cama dura ~7 dias.</t>
        </is>
      </c>
      <c r="L7" s="99" t="inlineStr">
        <is>
          <t>Tres piezas: (1) de donde sale el %productividad por variedad; (2) como se distribuyen los tallos en los ~7 dias de corte, no hay curva; (3) con que criterio se aplica el porcentaje de baja. Ver BR-23.</t>
        </is>
      </c>
    </row>
    <row r="8" ht="85.5" customHeight="1">
      <c r="A8" s="94" t="inlineStr">
        <is>
          <t>BR-04</t>
        </is>
      </c>
      <c r="B8" s="95" t="inlineStr">
        <is>
          <t>Alta</t>
        </is>
      </c>
      <c r="C8" s="96" t="inlineStr">
        <is>
          <t>Brecha</t>
        </is>
      </c>
      <c r="D8" s="94" t="inlineStr">
        <is>
          <t>Etapas y dias a corte</t>
        </is>
      </c>
      <c r="E8" s="96" t="inlineStr">
        <is>
          <t>P17: el cliente respondio sobre actividades que dificultan la produccion. Dio solo 'Siembra', 'Desbotone' y 'Boton Color', sin dias asociados. La pregunta no se entendio.</t>
        </is>
      </c>
      <c r="F8" s="96" t="inlineStr">
        <is>
          <t>Sin la tabla variedad x etapa -&gt; dias faltantes al corte no hay forma de convertir una observacion de campo en una fecha. Es el parametro que hace funcionar todo lo demas.</t>
        </is>
      </c>
      <c r="G8" s="97" t="inlineStr">
        <is>
          <t>Para una variedad cualquiera, si hoy veo una cama en desbotone, en cuantos dias empieza el corte? Y si la veo en boton color? Esos dias son iguales en todas las variedades o cambian? Que hace que se corran?</t>
        </is>
      </c>
      <c r="H8" s="96" t="inlineStr">
        <is>
          <t>Director de produccion</t>
        </is>
      </c>
      <c r="I8" s="96" t="inlineStr">
        <is>
          <t>Reunion o audio</t>
        </is>
      </c>
      <c r="J8" s="98" t="inlineStr">
        <is>
          <t>Parcial</t>
        </is>
      </c>
      <c r="K8" s="99" t="inlineStr">
        <is>
          <t>Desbotone -&gt; corte = ~3 semanas. Boton color -&gt; corte = ~12 dias. 'Todo depende de la variedad'. El cliente no quiso anadir mas etapas por ahora. El ciclo se corre hasta 15 dias, que sobre ~90 dias es un 6% de margen.</t>
        </is>
      </c>
      <c r="L8" s="99" t="inlineStr">
        <is>
          <t>La tabla variedad x etapa -&gt; dias a corte de ESTA finca. Los numeros que dio son indicativos y genericos.</t>
        </is>
      </c>
    </row>
    <row r="9" ht="85.5" customHeight="1">
      <c r="A9" s="100" t="inlineStr">
        <is>
          <t>BR-05</t>
        </is>
      </c>
      <c r="B9" s="101" t="inlineStr">
        <is>
          <t>Alta</t>
        </is>
      </c>
      <c r="C9" s="102" t="inlineStr">
        <is>
          <t>Contradiccion</t>
        </is>
      </c>
      <c r="D9" s="100" t="inlineStr">
        <is>
          <t>Conectividad en campo</t>
        </is>
      </c>
      <c r="E9" s="102" t="inlineStr">
        <is>
          <t>P29: 'NO' hay senal ni wifi. P30: el registro de plagas 'es un formato que se encuentra en un celular y va directamente a un sistema'.</t>
        </is>
      </c>
      <c r="F9" s="102" t="inlineStr">
        <is>
          <t>Ambas no pueden ser ciertas al mismo tiempo. De la respuesta correcta depende si la app debe funcionar sin conexion, que es una decision de arquitectura, no un detalle.</t>
        </is>
      </c>
      <c r="G9" s="103" t="inlineStr">
        <is>
          <t>Me quedo una duda: si no hay senal en el cultivo, el formato de plagas que llenan en el celular, en que momento sube al sistema? Lo llenan en campo y sube despues, o lo llenan cuando ya salieron del bloque? Hay wifi en oficinas o en poscosecha?</t>
        </is>
      </c>
      <c r="H9" s="102" t="inlineStr">
        <is>
          <t>Supervisor de campo</t>
        </is>
      </c>
      <c r="I9" s="102" t="inlineStr">
        <is>
          <t>WhatsApp</t>
        </is>
      </c>
      <c r="J9" s="104" t="inlineStr">
        <is>
          <t>Cerrada</t>
        </is>
      </c>
      <c r="K9" s="105" t="inlineStr">
        <is>
          <t>RESUELTA, no era contradiccion. La app de plagas es 'totalmente celular local, se hace local y luego se sube a la nube'. Es arquitectura offline-first y es una app propia de la empresa (formato de monitoreo de plagas y enfermedades). Confirma que ya hay precedente de captura movil offline funcionando en la finca.</t>
        </is>
      </c>
      <c r="L9" s="105" t="inlineStr">
        <is>
          <t>Nada critico. Util pedir capturas de esa app como modelo de referencia.</t>
        </is>
      </c>
    </row>
    <row r="10" ht="85.5" customHeight="1">
      <c r="A10" s="94" t="inlineStr">
        <is>
          <t>BR-06</t>
        </is>
      </c>
      <c r="B10" s="95" t="inlineStr">
        <is>
          <t>Media</t>
        </is>
      </c>
      <c r="C10" s="96" t="inlineStr">
        <is>
          <t>Contradiccion</t>
        </is>
      </c>
      <c r="D10" s="94" t="inlineStr">
        <is>
          <t>Grado real de sistematizacion</t>
        </is>
      </c>
      <c r="E10" s="96" t="inlineStr">
        <is>
          <t>P35: 'todo esta sistematizado'. Pero P28: el supervisor llena formatos a lapiz y papel y un practicante digita 4 h/semana. P31: el clima se registra manual.</t>
        </is>
      </c>
      <c r="F10" s="96" t="inlineStr">
        <is>
          <t>El cliente esta describiendo la intencion de la finca, no su realidad. Si se toma literal, se subestima el trabajo de migracion y de cambio cultural.</t>
        </is>
      </c>
      <c r="G10" s="97" t="inlineStr">
        <is>
          <t>No la preguntes: pidela en fisico. 'Me pasas foto de los formatos que llena el supervisor esta semana, tal como quedan llenos?'</t>
        </is>
      </c>
      <c r="H10" s="96" t="inlineStr">
        <is>
          <t>Supervisor de campo</t>
        </is>
      </c>
      <c r="I10" s="96" t="inlineStr">
        <is>
          <t>WhatsApp</t>
        </is>
      </c>
      <c r="J10" s="98" t="inlineStr">
        <is>
          <t>Parcial</t>
        </is>
      </c>
      <c r="K10" s="99" t="inlineStr">
        <is>
          <t>Aclarado el malentendido: 'se hace lapiz y papel y luego se ingresa al sistema, que es lo que vamos a obviar'. Lo de 'todo esta sistematizado' se referia a las ACTIVIDADES: 'pueden estar digitalizadas pero no lo hace la gente'. 'La herramienta esta, lo que pasa es que no se usa'.</t>
        </is>
      </c>
      <c r="L10" s="99" t="inlineStr">
        <is>
          <t>La foto de los formatos en papel llenos sigue sin llegar. Es el artefacto que mas informacion da por menos esfuerzo.</t>
        </is>
      </c>
    </row>
    <row r="11" ht="85.5" customHeight="1">
      <c r="A11" s="100" t="inlineStr">
        <is>
          <t>BR-07</t>
        </is>
      </c>
      <c r="B11" s="101" t="inlineStr">
        <is>
          <t>Alta</t>
        </is>
      </c>
      <c r="C11" s="102" t="inlineStr">
        <is>
          <t>Decision pendiente</t>
        </is>
      </c>
      <c r="D11" s="100" t="inlineStr">
        <is>
          <t>Alcance del cruce con pedidos</t>
        </is>
      </c>
      <c r="E11" s="102" t="inlineStr">
        <is>
          <t>P25: 'se sale del dominio del sistema... pero se puede dejar abierto'.</t>
        </is>
      </c>
      <c r="F11" s="102" t="inlineStr">
        <is>
          <t>'Dejarlo abierto' no es una decision, es alcance que reaparece a mitad del desarrollo. Ademas el cliente ya dijo en P07 que quiere minimizar cancelaciones de venta, que es justamente esto.</t>
        </is>
      </c>
      <c r="G11" s="103" t="inlineStr">
        <is>
          <t>Para la primera fase necesito cerrarlo: el sistema muestra solo cuanto vamos a tener, o tambien cuanto ya esta comprometido y a que cliente? Si es lo segundo, entra en fase 1 o lo dejamos para fase 2 y lo escribimos asi?</t>
        </is>
      </c>
      <c r="H11" s="102" t="inlineStr">
        <is>
          <t>Director + gerente de ventas</t>
        </is>
      </c>
      <c r="I11" s="102" t="inlineStr">
        <is>
          <t>Reunion 20 min</t>
        </is>
      </c>
      <c r="J11" s="104" t="inlineStr">
        <is>
          <t>Cerrada</t>
        </is>
      </c>
      <c r="K11" s="105" t="inlineStr">
        <is>
          <t>DECISION TOMADA. El cliente eligio la opcion A: 'solamente va a mostrar que flor se va a producir'. El cruce con pedidos y clientes queda FUERA de la fase 1. Motivo textual: 'porque se alarga mucho'.</t>
        </is>
      </c>
      <c r="L11" s="105" t="inlineStr">
        <is>
          <t>Nada. Dejarlo escrito en el documento de alcance para que no reaparezca.</t>
        </is>
      </c>
    </row>
    <row r="12" ht="85.5" customHeight="1">
      <c r="A12" s="100" t="inlineStr">
        <is>
          <t>BR-08</t>
        </is>
      </c>
      <c r="B12" s="101" t="inlineStr">
        <is>
          <t>Media</t>
        </is>
      </c>
      <c r="C12" s="102" t="inlineStr">
        <is>
          <t>Brecha</t>
        </is>
      </c>
      <c r="D12" s="100" t="inlineStr">
        <is>
          <t>Presupuesto anual vs proyeccion operativa</t>
        </is>
      </c>
      <c r="E12" s="102" t="inlineStr">
        <is>
          <t>P21: proyectan a 1 y hasta 1.5 anos para armar presupuesto. P20: la unidad es dias. P15: ajuste continuo por inspeccion fisica.</t>
        </is>
      </c>
      <c r="F12" s="102" t="inlineStr">
        <is>
          <t>Son dos funciones distintas: un presupuesto anual grueso y un seguimiento fino de corto plazo. Hoy estan mezcladas. Si se disenan como una sola, ninguna de las dos queda bien.</t>
        </is>
      </c>
      <c r="G12" s="103" t="inlineStr">
        <is>
          <t>Cuando armas el presupuesto a un ano, lo haces en dias o en meses? Y el seguimiento semanal contra ese presupuesto, a que nivel de detalle lo revisas? Son la misma pantalla o dos cosas distintas para ti?</t>
        </is>
      </c>
      <c r="H12" s="102" t="inlineStr">
        <is>
          <t>Director de produccion</t>
        </is>
      </c>
      <c r="I12" s="102" t="inlineStr">
        <is>
          <t>Reunion 20 min</t>
        </is>
      </c>
      <c r="J12" s="104" t="inlineStr">
        <is>
          <t>Cerrada</t>
        </is>
      </c>
      <c r="K12" s="105" t="inlineStr">
        <is>
          <t>El presupuesto se arma en dias, semanas o meses segun quien lo consume: gerencia general mensual (plata que entra y sale), gerente de ventas semanal, gerente de produccion diario. La proyeccion hoy se ajusta MENSUALMENTE o cuando es necesario; se quiere que sea SEMANAL.</t>
        </is>
      </c>
      <c r="L12" s="105" t="inlineStr">
        <is>
          <t>Nada critico. El paso de mensual a semanal es un requisito, no una brecha.</t>
        </is>
      </c>
    </row>
    <row r="13" ht="85.5" customHeight="1">
      <c r="A13" s="100" t="inlineStr">
        <is>
          <t>BR-09</t>
        </is>
      </c>
      <c r="B13" s="101" t="inlineStr">
        <is>
          <t>Alta</t>
        </is>
      </c>
      <c r="C13" s="102" t="inlineStr">
        <is>
          <t>Brecha</t>
        </is>
      </c>
      <c r="D13" s="100" t="inlineStr">
        <is>
          <t>Que mide realmente el 6%</t>
        </is>
      </c>
      <c r="E13" s="102" t="inlineStr">
        <is>
          <t>P22: 'la desviacion de presupuesto de ventas vs la proyeccion normalmente esta 6% debajo del presupuesto'.</t>
        </is>
      </c>
      <c r="F13" s="102" t="inlineStr">
        <is>
          <t>Eso compara presupuesto contra proyeccion, no proyeccion contra corte real. Si se usa como linea base sin aclararlo, la meta del proyecto queda mal fijada desde el dia uno.</t>
        </is>
      </c>
      <c r="G13" s="103" t="inlineStr">
        <is>
          <t>Ese 6%, compara lo presupuestado contra lo proyectado, o contra lo que efectivamente se corto? Tienen el dato de proyectado contra cortado real de los ultimos meses? Aunque sea de una variedad.</t>
        </is>
      </c>
      <c r="H13" s="102" t="inlineStr">
        <is>
          <t>Director de produccion</t>
        </is>
      </c>
      <c r="I13" s="102" t="inlineStr">
        <is>
          <t>WhatsApp</t>
        </is>
      </c>
      <c r="J13" s="104" t="inlineStr">
        <is>
          <t>Cerrada</t>
        </is>
      </c>
      <c r="K13" s="105" t="inlineStr">
        <is>
          <t>CORREGIDO. El 6% compara lo presupuestado contra lo que efectivamente SE CORTO (no contra lo proyectado). El cliente confirmo que existe informacion historica de proyectado contra cortado real.</t>
        </is>
      </c>
      <c r="L13" s="105" t="inlineStr">
        <is>
          <t>Ninguna sobre el 6% en si. Pero abre BR-21: ese 6% y el +/-10% de meta no parecen medirse al mismo nivel de agregacion.</t>
        </is>
      </c>
    </row>
    <row r="14" ht="85.5" customHeight="1">
      <c r="A14" s="100" t="inlineStr">
        <is>
          <t>BR-10</t>
        </is>
      </c>
      <c r="B14" s="101" t="inlineStr">
        <is>
          <t>Critica</t>
        </is>
      </c>
      <c r="C14" s="102" t="inlineStr">
        <is>
          <t>Brecha</t>
        </is>
      </c>
      <c r="D14" s="100" t="inlineStr">
        <is>
          <t>Cierre de la sesion 1 sin hacer</t>
        </is>
      </c>
      <c r="E14" s="102" t="inlineStr">
        <is>
          <t>P42 a P45 sin respuesta: no se valido el resumen, no hay otros entrevistados, no hay datos de muestra, no hay segunda sesion.</t>
        </is>
      </c>
      <c r="F14" s="102" t="inlineStr">
        <is>
          <t>Sin datos reales y sin mas voces, todo el levantamiento descansa en la memoria de una sola persona. Es lo mas facil de recuperar y lo mas urgente.</t>
        </is>
      </c>
      <c r="G14" s="103" t="inlineStr">
        <is>
          <t>Ver la hoja 'Mensajes Listos', mensaje M1. Se resuelve hoy mismo con un correo.</t>
        </is>
      </c>
      <c r="H14" s="102" t="inlineStr">
        <is>
          <t>Director de produccion</t>
        </is>
      </c>
      <c r="I14" s="102" t="inlineStr">
        <is>
          <t>Correo hoy</t>
        </is>
      </c>
      <c r="J14" s="104" t="inlineStr">
        <is>
          <t>Cerrada</t>
        </is>
      </c>
      <c r="K14" s="105" t="inlineStr">
        <is>
          <t>La sesion 2 del 04-ago fue el cierre: se recorrieron las brechas, se valido el entendimiento y el cliente califico el contexto en 5/10 diciendo 'hay que volverla a hacer hasta conseguir un 9 con algo'.</t>
        </is>
      </c>
      <c r="L14" s="105" t="inlineStr">
        <is>
          <t>El punto de otros entrevistados NO se resolvio, se rechazo: 'me pregunta por mas personas a las que se pueda entrevistar, pero no, eso no'. Ver BR-25 como riesgo aceptado.</t>
        </is>
      </c>
    </row>
    <row r="15" ht="85.5" customHeight="1">
      <c r="A15" s="106" t="inlineStr">
        <is>
          <t>BR-11</t>
        </is>
      </c>
      <c r="B15" s="107" t="inlineStr">
        <is>
          <t>Media</t>
        </is>
      </c>
      <c r="C15" s="108" t="inlineStr">
        <is>
          <t>Brecha</t>
        </is>
      </c>
      <c r="D15" s="106" t="inlineStr">
        <is>
          <t>Catalogo de grados y calidades</t>
        </is>
      </c>
      <c r="E15" s="108" t="inlineStr">
        <is>
          <t>P19: explico bien el concepto (grado agrupa longitud, tamano, numero de flores, grosor, follaje) y que cada finca los define. No dio los de esta finca.</t>
        </is>
      </c>
      <c r="F15" s="108" t="inlineStr">
        <is>
          <t>Sin el catalogo real y sin el porcentaje historico por grado, la proyeccion solo puede dar un total de tallos, que comercialmente no sirve para vender.</t>
        </is>
      </c>
      <c r="G15" s="109" t="inlineStr">
        <is>
          <t>Me pasas la tabla de grados y calidades que usan ustedes? Y de una cosecha tipica, que porcentaje sale en cada grado? Sirve un estimado tuyo si no lo tienen medido.</t>
        </is>
      </c>
      <c r="H15" s="108" t="inlineStr">
        <is>
          <t>Director + poscosecha</t>
        </is>
      </c>
      <c r="I15" s="108" t="inlineStr">
        <is>
          <t>WhatsApp</t>
        </is>
      </c>
      <c r="J15" s="110" t="inlineStr">
        <is>
          <t>Abierta</t>
        </is>
      </c>
      <c r="K15" s="111" t="inlineStr">
        <is>
          <t>Se volvio a pedir. Respuesta: 'me pasas tablas de grados y calidades tambien - no, pero ya dentro del sistema'. Es decir, existe pero dentro del sistema actual, y no se entrego.</t>
        </is>
      </c>
      <c r="L15" s="111" t="inlineStr">
        <is>
          <t>El catalogo de grados de esta finca y el porcentaje historico que cae en cada grado por variedad. Sin esto la proyeccion solo da un total de tallos, que comercialmente no sirve.</t>
        </is>
      </c>
    </row>
    <row r="16" ht="85.5" customHeight="1">
      <c r="A16" s="100" t="inlineStr">
        <is>
          <t>BR-12</t>
        </is>
      </c>
      <c r="B16" s="101" t="inlineStr">
        <is>
          <t>Media</t>
        </is>
      </c>
      <c r="C16" s="102" t="inlineStr">
        <is>
          <t>Contradiccion</t>
        </is>
      </c>
      <c r="D16" s="100" t="inlineStr">
        <is>
          <t>Roles y permisos</t>
        </is>
      </c>
      <c r="E16" s="102" t="inlineStr">
        <is>
          <t>P38: 'toda la informacion puede ser observada por todos'. P08: menciona area gerencial 'con privilegios'.</t>
        </is>
      </c>
      <c r="F16" s="102" t="inlineStr">
        <is>
          <t>Nunca se hablo de costos ni precios de venta, que es justo lo que las fincas restringen. Si se disena sin permisos, se rehace despues.</t>
        </is>
      </c>
      <c r="G16" s="103" t="inlineStr">
        <is>
          <t>Volviendo a permisos: un supervisor de siembra deberia poder ver el costo de produccion o el precio de venta de la flor? Y los datos de otros bloques que no son suyos?</t>
        </is>
      </c>
      <c r="H16" s="102" t="inlineStr">
        <is>
          <t>Director + gerencia</t>
        </is>
      </c>
      <c r="I16" s="102" t="inlineStr">
        <is>
          <t>WhatsApp</t>
        </is>
      </c>
      <c r="J16" s="104" t="inlineStr">
        <is>
          <t>Cerrada</t>
        </is>
      </c>
      <c r="K16" s="105" t="inlineStr">
        <is>
          <t>CERRADA con tres roles: (1) Supervisor de campo (supervisor + 2 auxiliares): ingresa datos y ve reportes sencillos de lo que ingresa. NO ve precio de venta; el costo de produccion si lo llegan a conocer. (2) Administrador de produccion y ventas: incluye gerencia y toda la gente que toma decisiones, acceso amplio. (3) Administrador del sistema (superusuario, el ingeniero de sistemas): parametriza, otorga permisos y corrige datos. Entre bloques no hay restriccion: 'hay informacion muy compartida en todo el sistema'.</t>
        </is>
      </c>
      <c r="L16" s="105" t="inlineStr">
        <is>
          <t>Nada. Cargar los 3 roles en el mini QAW y en el catalogo de requisitos.</t>
        </is>
      </c>
    </row>
    <row r="17" ht="85.5" customHeight="1">
      <c r="A17" s="94" t="inlineStr">
        <is>
          <t>BR-13</t>
        </is>
      </c>
      <c r="B17" s="95" t="inlineStr">
        <is>
          <t>Media</t>
        </is>
      </c>
      <c r="C17" s="96" t="inlineStr">
        <is>
          <t>Brecha</t>
        </is>
      </c>
      <c r="D17" s="94" t="inlineStr">
        <is>
          <t>Requisitos no funcionales</t>
        </is>
      </c>
      <c r="E17" s="96" t="inlineStr">
        <is>
          <t>P41: solo 'la temporada pico es 60% mas grande'. P40: 'perderia todo su valor si falla', sin numeros. P29 implica captura movil sin red.</t>
        </is>
      </c>
      <c r="F17" s="96" t="inlineStr">
        <is>
          <t>Falta volumen diario de registros, usuarios concurrentes, cuanto tiempo pueden operar caidos y con que dispositivos cuenta el personal de campo. Sin eso no se dimensiona nada.</t>
        </is>
      </c>
      <c r="G17" s="97" t="inlineStr">
        <is>
          <t>Tres datos rapidos: cuantos registros de siembra o produccion se llenan en un dia pico; cuantas personas estarian usando el sistema al mismo tiempo; y si el sistema se cae un dia entero en temporada, pueden seguir en papel o se para la operacion?</t>
        </is>
      </c>
      <c r="H17" s="96" t="inlineStr">
        <is>
          <t>Director + TI</t>
        </is>
      </c>
      <c r="I17" s="96" t="inlineStr">
        <is>
          <t>WhatsApp</t>
        </is>
      </c>
      <c r="J17" s="98" t="inlineStr">
        <is>
          <t>Parcial</t>
        </is>
      </c>
      <c r="K17" s="99" t="inlineStr">
        <is>
          <t>Solo 3 personas ingresan datos (1 supervisor + 2 auxiliares). ~12 personas usarian el sistema y ~20 mas solo consultan (vendedoras). Caida tolerable: alrededor de 1 hora; 4 horas es demasiado. Existe plan B en papel y despues se sube. Pico: +60% en tallos, +60% en registros, +30-40% en personal.</t>
        </is>
      </c>
      <c r="L17" s="99" t="inlineStr">
        <is>
          <t>El numero absoluto de registros de siembra o produccion en un dia pico. Sin ese dato no se dimensiona el almacenamiento ni el N segundos de la meta de captura.</t>
        </is>
      </c>
    </row>
    <row r="18" ht="85.5" customHeight="1">
      <c r="A18" s="106" t="inlineStr">
        <is>
          <t>BR-14</t>
        </is>
      </c>
      <c r="B18" s="107" t="inlineStr">
        <is>
          <t>Media</t>
        </is>
      </c>
      <c r="C18" s="108" t="inlineStr">
        <is>
          <t>Brecha</t>
        </is>
      </c>
      <c r="D18" s="106" t="inlineStr">
        <is>
          <t>Dispositivos del personal de campo</t>
        </is>
      </c>
      <c r="E18" s="108" t="inlineStr">
        <is>
          <t>No se pregunto. P27 solo menciona supervisores y auxiliares de siembra.</t>
        </is>
      </c>
      <c r="F18" s="108" t="inlineStr">
        <is>
          <t>Define el minimo tecnico de la app y si hay que presupuestar hardware. En fincas suele ser celular personal de gama baja.</t>
        </is>
      </c>
      <c r="G18" s="109" t="inlineStr">
        <is>
          <t>Los supervisores y auxiliares usan celular propio o de la finca? De que gama, mas o menos? Estarian dispuestos a instalar una app en su celular personal?</t>
        </is>
      </c>
      <c r="H18" s="108" t="inlineStr">
        <is>
          <t>Director de produccion</t>
        </is>
      </c>
      <c r="I18" s="108" t="inlineStr">
        <is>
          <t>WhatsApp</t>
        </is>
      </c>
      <c r="J18" s="110" t="inlineStr">
        <is>
          <t>Abierta</t>
        </is>
      </c>
      <c r="K18" s="111" t="inlineStr">
        <is>
          <t>No se toco en la sesion 2.</t>
        </is>
      </c>
      <c r="L18" s="111" t="inlineStr">
        <is>
          <t>Que celulares usan supervisores y auxiliares, marca y gama, si son propios o de la finca. Define el minimo tecnico de la app y condiciona por completo la viabilidad del agente de IA local (BR-24).</t>
        </is>
      </c>
    </row>
    <row r="19" ht="85.5" customHeight="1">
      <c r="A19" s="100" t="inlineStr">
        <is>
          <t>BR-15</t>
        </is>
      </c>
      <c r="B19" s="101" t="inlineStr">
        <is>
          <t>Media</t>
        </is>
      </c>
      <c r="C19" s="102" t="inlineStr">
        <is>
          <t>Brecha</t>
        </is>
      </c>
      <c r="D19" s="100" t="inlineStr">
        <is>
          <t>Que exige Florverde exactamente</t>
        </is>
      </c>
      <c r="E19" s="102" t="inlineStr">
        <is>
          <t>P37: se identifico el sello y su proposito, no los registros ni los formatos.</t>
        </is>
      </c>
      <c r="F19" s="102" t="inlineStr">
        <is>
          <t>Es no negociable y define campos obligatorios y reportes de formato fijo. Descubrirlo tarde obliga a rehacer formularios.</t>
        </is>
      </c>
      <c r="G19" s="103" t="inlineStr">
        <is>
          <t>Me puedes compartir los formatos o el listado de registros que exige Florverde? Y cada cuanto los auditan?</t>
        </is>
      </c>
      <c r="H19" s="102" t="inlineStr">
        <is>
          <t>Jefe de calidad</t>
        </is>
      </c>
      <c r="I19" s="102" t="inlineStr">
        <is>
          <t>Correo</t>
        </is>
      </c>
      <c r="J19" s="104" t="inlineStr">
        <is>
          <t>Cerrada</t>
        </is>
      </c>
      <c r="K19" s="105" t="inlineStr">
        <is>
          <t>EXCLUIDA DEL ALCANCE por decision del cliente: 'no nos metamos en Florverde, por que no, porque es muy complicado, es otra cuestion adicional'.</t>
        </is>
      </c>
      <c r="L19" s="105" t="inlineStr">
        <is>
          <t>Nada. Dejarlo escrito como exclusion explicita en el documento de alcance.</t>
        </is>
      </c>
    </row>
    <row r="20" ht="85.5" customHeight="1">
      <c r="A20" s="94" t="inlineStr">
        <is>
          <t>BR-16</t>
        </is>
      </c>
      <c r="B20" s="95" t="inlineStr">
        <is>
          <t>Media</t>
        </is>
      </c>
      <c r="C20" s="96" t="inlineStr">
        <is>
          <t>Brecha</t>
        </is>
      </c>
      <c r="D20" s="94" t="inlineStr">
        <is>
          <t>Costo del error</t>
        </is>
      </c>
      <c r="E20" s="96" t="inlineStr">
        <is>
          <t>P23: cuando falla, 'el gerente de ventas debe suplir comprando a terceros o cancelando ventas'. Sin cifras.</t>
        </is>
      </c>
      <c r="F20" s="96" t="inlineStr">
        <is>
          <t>Es el argumento economico que justifica el proyecto ante gerencia. Sin un numero, la propuesta compite solo por precio.</t>
        </is>
      </c>
      <c r="G20" s="97" t="inlineStr">
        <is>
          <t>El ano pasado, mas o menos cuanto tuvieron que comprar a terceros por no cumplir, y cuantas ventas se cancelaron? Un orden de magnitud me sirve.</t>
        </is>
      </c>
      <c r="H20" s="96" t="inlineStr">
        <is>
          <t>Gerente de ventas</t>
        </is>
      </c>
      <c r="I20" s="96" t="inlineStr">
        <is>
          <t>Reunion 20 min</t>
        </is>
      </c>
      <c r="J20" s="98" t="inlineStr">
        <is>
          <t>Parcial</t>
        </is>
      </c>
      <c r="K20" s="99" t="inlineStr">
        <is>
          <t>Alrededor del 8% de las ventas se tuvo que conseguir comprando a terceros o cancelando ordenes. La compra a terceros ocurre mensualmente.</t>
        </is>
      </c>
      <c r="L20" s="99" t="inlineStr">
        <is>
          <t>El valor en dinero. El 8% da la magnitud pero no el argumento economico para gerencia.</t>
        </is>
      </c>
    </row>
    <row r="21" ht="85.5" customHeight="1">
      <c r="A21" s="100" t="inlineStr">
        <is>
          <t>BR-17</t>
        </is>
      </c>
      <c r="B21" s="101" t="inlineStr">
        <is>
          <t>Media</t>
        </is>
      </c>
      <c r="C21" s="102" t="inlineStr">
        <is>
          <t>Brecha</t>
        </is>
      </c>
      <c r="D21" s="100" t="inlineStr">
        <is>
          <t>Metrica de exito sin numero</t>
        </is>
      </c>
      <c r="E21" s="102" t="inlineStr">
        <is>
          <t>P06: 'eficiencia en toma de decisiones y venta a partir de estadisticas'.</t>
        </is>
      </c>
      <c r="F21" s="102" t="inlineStr">
        <is>
          <t>Sin meta medible nadie puede declarar el proyecto exitoso ni fallido. Con los datos de P28 ya tienes con que proponerla.</t>
        </is>
      </c>
      <c r="G21" s="103" t="inlineStr">
        <is>
          <t>Te propongo tres metas concretas y me dices si te sirven: pasar de 8 dias a menos de 24 horas para que gerencia vea el dato; eliminar las 4 horas semanales de digitacion; y bajar el error de captura del 2% a menos de 0.5%. Estas de acuerdo o cambiarias alguna?</t>
        </is>
      </c>
      <c r="H21" s="102" t="inlineStr">
        <is>
          <t>Director de produccion</t>
        </is>
      </c>
      <c r="I21" s="102" t="inlineStr">
        <is>
          <t>Correo</t>
        </is>
      </c>
      <c r="J21" s="104" t="inlineStr">
        <is>
          <t>Cerrada</t>
        </is>
      </c>
      <c r="K21" s="105" t="inlineStr">
        <is>
          <t>El cliente acepto las tres metas propuestas (gerencia ve el dato en menos de 24 h en vez de 8 dias; eliminar las 4 h semanales de digitacion; bajar el error de captura) y anadio una cuarta suya: proyecciones de venta con desviacion estadistica dentro del +/-10% de lo proyectado.</t>
        </is>
      </c>
      <c r="L21" s="105" t="inlineStr">
        <is>
          <t>Fijar el numero exacto del error de captura objetivo. Y resolver BR-21 antes de comprometer el +/-10% como linea base.</t>
        </is>
      </c>
    </row>
    <row r="22" ht="85.5" customHeight="1">
      <c r="A22" s="100" t="inlineStr">
        <is>
          <t>BR-18</t>
        </is>
      </c>
      <c r="B22" s="101" t="inlineStr">
        <is>
          <t>Media</t>
        </is>
      </c>
      <c r="C22" s="102" t="inlineStr">
        <is>
          <t>Brecha</t>
        </is>
      </c>
      <c r="D22" s="100" t="inlineStr">
        <is>
          <t>Interrumpir ciclo por decision comercial</t>
        </is>
      </c>
      <c r="E22" s="102" t="inlineStr">
        <is>
          <t>P13: se puede erradicar 'porque no hay ventas, porque hay problemas fitosanitarios o viene enferma'. Decide el ingeniero de produccion o el gerente de ventas.</t>
        </is>
      </c>
      <c r="F22" s="102" t="inlineStr">
        <is>
          <t>Es una regla de negocio que borra produccion ya proyectada. El sistema tiene que soportar el evento y recalcular hacia adelante.</t>
        </is>
      </c>
      <c r="G22" s="103" t="inlineStr">
        <is>
          <t>Cuando se decide erradicar una cama a mitad de ciclo, que pasa con lo que ya estaba proyectado y vendido de ahi? Cada cuanto pasa eso al ano?</t>
        </is>
      </c>
      <c r="H22" s="102" t="inlineStr">
        <is>
          <t>Director de produccion</t>
        </is>
      </c>
      <c r="I22" s="102" t="inlineStr">
        <is>
          <t>WhatsApp</t>
        </is>
      </c>
      <c r="J22" s="104" t="inlineStr">
        <is>
          <t>Cerrada</t>
        </is>
      </c>
      <c r="K22" s="105" t="inlineStr">
        <is>
          <t>La erradicacion se digita para que el sistema RESTE esa produccion proyectada. Lo ya vendido de ahi se cancela o se compra a terceros. Ocurre semanalmente, con gravedad variable. El ciclo vuelve a cero. El tiempo hasta resembrar 'depende de la necesidad', no hay regla fija.</t>
        </is>
      </c>
      <c r="L22" s="105" t="inlineStr">
        <is>
          <t>Nada. Convertirlo en regla de negocio con su excepcion en la hoja Reglas y Excepciones.</t>
        </is>
      </c>
    </row>
    <row r="23" ht="85.5" customHeight="1">
      <c r="A23" s="106" t="inlineStr">
        <is>
          <t>BR-19</t>
        </is>
      </c>
      <c r="B23" s="107" t="inlineStr">
        <is>
          <t>Baja</t>
        </is>
      </c>
      <c r="C23" s="108" t="inlineStr">
        <is>
          <t>Brecha</t>
        </is>
      </c>
      <c r="D23" s="106" t="inlineStr">
        <is>
          <t>Material vegetal y esquejes</t>
        </is>
      </c>
      <c r="E23" s="108" t="inlineStr">
        <is>
          <t>P26: 'la produccion de un esqueje'. P32: 'reportes de inventarios de material vegetal'.</t>
        </is>
      </c>
      <c r="F23" s="108" t="inlineStr">
        <is>
          <t>Hay un modulo de material vegetal que aparecio de refilon y nunca se exploro. Puede ser alcance oculto.</t>
        </is>
      </c>
      <c r="G23" s="109" t="inlineStr">
        <is>
          <t>Mencionaste inventario de material vegetal y produccion de esquejes. Eso es un proceso aparte que tambien quieren en el sistema, o solo lo consultan?</t>
        </is>
      </c>
      <c r="H23" s="108" t="inlineStr">
        <is>
          <t>Director de produccion</t>
        </is>
      </c>
      <c r="I23" s="108" t="inlineStr">
        <is>
          <t>WhatsApp</t>
        </is>
      </c>
      <c r="J23" s="110" t="inlineStr">
        <is>
          <t>Abierta</t>
        </is>
      </c>
      <c r="K23" s="111" t="inlineStr">
        <is>
          <t>No se toco en la sesion 2.</t>
        </is>
      </c>
      <c r="L23" s="111" t="inlineStr">
        <is>
          <t>Si el inventario de material vegetal y la produccion de esquejes entran al alcance o solo se consultan.</t>
        </is>
      </c>
    </row>
    <row r="24" ht="85.5" customHeight="1">
      <c r="A24" s="106" t="inlineStr">
        <is>
          <t>BR-20</t>
        </is>
      </c>
      <c r="B24" s="107" t="inlineStr">
        <is>
          <t>Baja</t>
        </is>
      </c>
      <c r="C24" s="108" t="inlineStr">
        <is>
          <t>Brecha</t>
        </is>
      </c>
      <c r="D24" s="106" t="inlineStr">
        <is>
          <t>Integracion con nomina y contabilidad</t>
        </is>
      </c>
      <c r="E24" s="108" t="inlineStr">
        <is>
          <t>P36: existen sistema de nomina y de contabilidad. Sin detalle.</t>
        </is>
      </c>
      <c r="F24" s="108" t="inlineStr">
        <is>
          <t>Puede que el registro de labores necesite cruzarse con personal, o que costos venga de contabilidad. Conviene descartarlo temprano.</t>
        </is>
      </c>
      <c r="G24" s="109" t="inlineStr">
        <is>
          <t>El sistema nuevo necesitaria leer o escribir algo de nomina o contabilidad, o son mundos separados?</t>
        </is>
      </c>
      <c r="H24" s="108" t="inlineStr">
        <is>
          <t>Director + TI</t>
        </is>
      </c>
      <c r="I24" s="108" t="inlineStr">
        <is>
          <t>WhatsApp</t>
        </is>
      </c>
      <c r="J24" s="110" t="inlineStr">
        <is>
          <t>Abierta</t>
        </is>
      </c>
      <c r="K24" s="111" t="inlineStr">
        <is>
          <t>Aparecio en la lista de documentos a pedir pero no se respondio: 'basicamente que sistemas de nomina y contabilidad usan, pero es algo que...'.</t>
        </is>
      </c>
      <c r="L24" s="111" t="inlineStr">
        <is>
          <t>Que sistemas son, quien los administra y si hay que intercambiar datos. Si se calcula rentabilidad por variedad, contabilidad deja de ser opcional.</t>
        </is>
      </c>
    </row>
    <row r="25" ht="110" customHeight="1">
      <c r="A25" s="112" t="inlineStr">
        <is>
          <t>BR-21</t>
        </is>
      </c>
      <c r="B25" s="112" t="inlineStr">
        <is>
          <t>Critica</t>
        </is>
      </c>
      <c r="C25" s="111" t="inlineStr">
        <is>
          <t>Brecha</t>
        </is>
      </c>
      <c r="D25" s="112" t="inlineStr">
        <is>
          <t>Nivel de agregacion del 6% y del +/-10%</t>
        </is>
      </c>
      <c r="E25" s="111" t="inlineStr">
        <is>
          <t>S2: el 6% compara presupuestado contra cortado real. S2: la meta es que el corte real quede entre el 90% y el 110% de lo proyectado.</t>
        </is>
      </c>
      <c r="F25" s="111" t="inlineStr">
        <is>
          <t>El presupuesto anual ya logra -6% contra el corte real. Si la proyeccion, que se ajusta continuamente y con mas informacion, se compromete a +/-10%, la meta es MAS FLOJA que lo que ya consiguen. La explicacion probable es que se miden a niveles distintos (finca/ano vs cama/semana), pero si no se aclara, la linea base y la metrica de exito del proyecto quedan mal fijadas desde el dia uno.</t>
        </is>
      </c>
      <c r="G25" s="111" t="inlineStr">
        <is>
          <t>Dos preguntas: el 6% lo miden sobre el total de la finca en el ano, o cama por cama? Y el +/-10% que quieres del sistema, a que nivel lo mides: por cama y por semana, o sobre el total? Es para no comprometer una meta mas facil de la que ya cumplen.</t>
        </is>
      </c>
      <c r="H25" s="111" t="inlineStr">
        <is>
          <t>Director de produccion</t>
        </is>
      </c>
      <c r="I25" s="111" t="inlineStr">
        <is>
          <t>WhatsApp</t>
        </is>
      </c>
      <c r="J25" s="111" t="inlineStr">
        <is>
          <t>Abierta</t>
        </is>
      </c>
      <c r="K25" s="111" t="inlineStr">
        <is>
          <t>Brecha detectada al analizar la sesion 2. No se pregunto en su momento.</t>
        </is>
      </c>
      <c r="L25" s="111" t="inlineStr">
        <is>
          <t>Todo. Es la brecha que define la metrica de exito del proyecto.</t>
        </is>
      </c>
    </row>
    <row r="26" ht="110" customHeight="1">
      <c r="A26" s="112" t="inlineStr">
        <is>
          <t>BR-22</t>
        </is>
      </c>
      <c r="B26" s="112" t="inlineStr">
        <is>
          <t>Alta</t>
        </is>
      </c>
      <c r="C26" s="111" t="inlineStr">
        <is>
          <t>Contradiccion</t>
        </is>
      </c>
      <c r="D26" s="112" t="inlineStr">
        <is>
          <t>Cuantas variedades hay realmente</t>
        </is>
      </c>
      <c r="E26" s="111" t="inlineStr">
        <is>
          <t>S1 (P10): '9 variedades activas constantemente'. S2: 'ahi en estos momentos mas o menos 300 variedades, 300 sub variedades, sumando el ancestral'.</t>
        </is>
      </c>
      <c r="F26" s="111" t="inlineStr">
        <is>
          <t>La diferencia es de dos ordenes de magnitud. Cambia el dimensionamiento del modelo de datos, del catalogo de parametrizacion (dias a corte y densidad por variedad) y del vocabulario cerrado que necesitaria el agente de captura.</t>
        </is>
      </c>
      <c r="G26" s="111" t="inlineStr">
        <is>
          <t>Volviendo a las variedades: los 9 que me dijiste al principio son las que estan sembradas hoy, y las ~300 son el catalogo historico completo? Cuantas manejan activas en una temporada normal?</t>
        </is>
      </c>
      <c r="H26" s="111" t="inlineStr">
        <is>
          <t>Director de produccion</t>
        </is>
      </c>
      <c r="I26" s="111" t="inlineStr">
        <is>
          <t>WhatsApp</t>
        </is>
      </c>
      <c r="J26" s="111" t="inlineStr">
        <is>
          <t>Abierta</t>
        </is>
      </c>
      <c r="K26" s="111" t="inlineStr">
        <is>
          <t>Contradiccion entre S1 y S2 detectada al comparar transcripciones.</t>
        </is>
      </c>
      <c r="L26" s="111" t="inlineStr">
        <is>
          <t>Todo. Sin esto no se dimensiona el catalogo.</t>
        </is>
      </c>
    </row>
    <row r="27" ht="110" customHeight="1">
      <c r="A27" s="112" t="inlineStr">
        <is>
          <t>BR-23</t>
        </is>
      </c>
      <c r="B27" s="112" t="inlineStr">
        <is>
          <t>Critica</t>
        </is>
      </c>
      <c r="C27" s="111" t="inlineStr">
        <is>
          <t>Brecha</t>
        </is>
      </c>
      <c r="D27" s="112" t="inlineStr">
        <is>
          <t>De donde sale el %productividad y la curva de corte</t>
        </is>
      </c>
      <c r="E27" s="111" t="inlineStr">
        <is>
          <t>S2: 'de acuerdo a las productividades de cada variedad... se puede sacar 900 de 1000'. S2: el corte 'dura alrededor de 7 dias'.</t>
        </is>
      </c>
      <c r="F27" s="111" t="inlineStr">
        <is>
          <t>Son las dos ultimas piezas del motor. El %productividad por variedad es el parametro que convierte plantas en tallos, y sin la curva de distribucion no se puede decir cuantos tallos hay disponibles el martes de la semana 25, que es exactamente lo que ventas necesita.</t>
        </is>
      </c>
      <c r="G27" s="111" t="inlineStr">
        <is>
          <t>Dos cosas del calculo: ese porcentaje de productividad por variedad, de donde lo sacan? Es un historico, una tabla del ingeniero o la ficha del proveedor de esquejes? Y en los 7 dias que dura el corte de una cama, sale parejo o hay dias fuertes? Si me pasas los numeros de una cama real, lo saco de ahi.</t>
        </is>
      </c>
      <c r="H27" s="111" t="inlineStr">
        <is>
          <t>Director de produccion + ingeniero</t>
        </is>
      </c>
      <c r="I27" s="111" t="inlineStr">
        <is>
          <t>Taller 60 min</t>
        </is>
      </c>
      <c r="J27" s="111" t="inlineStr">
        <is>
          <t>Abierta</t>
        </is>
      </c>
      <c r="K27" s="111" t="inlineStr">
        <is>
          <t>Desprendida de BR-03 tras la sesion 2.</t>
        </is>
      </c>
      <c r="L27" s="111" t="inlineStr">
        <is>
          <t>Todo. Es el ultimo hueco del motor de proyeccion.</t>
        </is>
      </c>
    </row>
    <row r="28" ht="110" customHeight="1">
      <c r="A28" s="112" t="inlineStr">
        <is>
          <t>BR-24</t>
        </is>
      </c>
      <c r="B28" s="112" t="inlineStr">
        <is>
          <t>Alta</t>
        </is>
      </c>
      <c r="C28" s="111" t="inlineStr">
        <is>
          <t>Decision pendiente</t>
        </is>
      </c>
      <c r="D28" s="112" t="inlineStr">
        <is>
          <t>Viabilidad del agente de IA de captura</t>
        </is>
      </c>
      <c r="E28" s="111" t="inlineStr">
        <is>
          <t>Propuesta del equipo, no del cliente. Atiende un requisito real: S2 'que sea facil, que a veces las aplicaciones ponemos tanta arandela que es muy complicado'. S1: la captura debe ser mas agil que el papel.</t>
        </is>
      </c>
      <c r="F28" s="111" t="inlineStr">
        <is>
          <t>Es una decision de arquitectura sin validar. Depende de tres cosas que hoy no se saben: la gama de los dispositivos (BR-14), el ruido en invernadero, y el tamano del vocabulario (BR-22). Ademas el cliente puso accesibilidad en 10 de 14, que es justo la premisa que justifica el agente. Y confiabilidad es el atributo #1: un agente que interpreta mal un numero de cama pega contra la prioridad mas alta.</t>
        </is>
      </c>
      <c r="G28" s="111" t="inlineStr">
        <is>
          <t>No es pregunta al cliente todavia: es una medicion. Cronometrar a una persona real de campo llenando un formulario optimizado contra dictando por voz, y comparar contra el papel. Antes, reabrir con el cliente la fila de accesibilidad con la definicion explicita.</t>
        </is>
      </c>
      <c r="H28" s="111" t="inlineStr">
        <is>
          <t>Equipo + supervisor de campo</t>
        </is>
      </c>
      <c r="I28" s="111" t="inlineStr">
        <is>
          <t>Prueba en campo</t>
        </is>
      </c>
      <c r="J28" s="111" t="inlineStr">
        <is>
          <t>Abierta</t>
        </is>
      </c>
      <c r="K28" s="111" t="inlineStr">
        <is>
          <t>Decision de diseno del equipo, documentada tras la sesion 2.</t>
        </is>
      </c>
      <c r="L28" s="111" t="inlineStr">
        <is>
          <t>La medicion, la gama de dispositivos y la reapertura de la fila de accesibilidad del QAW.</t>
        </is>
      </c>
    </row>
    <row r="29" ht="110" customHeight="1">
      <c r="A29" s="112" t="inlineStr">
        <is>
          <t>BR-25</t>
        </is>
      </c>
      <c r="B29" s="112" t="inlineStr">
        <is>
          <t>Alta</t>
        </is>
      </c>
      <c r="C29" s="111" t="inlineStr">
        <is>
          <t>Riesgo aceptado</t>
        </is>
      </c>
      <c r="D29" s="112" t="inlineStr">
        <is>
          <t>Todo descansa en una sola voz</t>
        </is>
      </c>
      <c r="E29" s="111" t="inlineStr">
        <is>
          <t>S2: 'me pregunta por mas personas a las que se pueda entrevistar, pero no, eso no'. S1 (P16): 'desde planeacion me dicen que debo plantar y que tanto'.</t>
        </is>
      </c>
      <c r="F29" s="111" t="inlineStr">
        <is>
          <t>El sistema sirve a planeacion, produccion, ventas, compras y gerencia, y solo se entrevisto al director de produccion. Planeacion, que es donde NACE la proyeccion, nunca se exploro. El cliente cerro la puerta, asi que no es una brecha que se pueda cerrar preguntando: es un riesgo que hay que dejar escrito y asumido.</t>
        </is>
      </c>
      <c r="G29" s="111" t="inlineStr">
        <is>
          <t>No insistir por ahora. Dejarlo registrado como supuesto en la hoja Pendientes y Riesgos de la plantilla, y reintentar via documentos: el plan de siembra que entrega planeacion habla por planeacion.</t>
        </is>
      </c>
      <c r="H29" s="111" t="inlineStr">
        <is>
          <t>Equipo</t>
        </is>
      </c>
      <c r="I29" s="111" t="inlineStr">
        <is>
          <t>Documentar</t>
        </is>
      </c>
      <c r="J29" s="111" t="inlineStr">
        <is>
          <t>Abierta</t>
        </is>
      </c>
      <c r="K29" s="111" t="inlineStr">
        <is>
          <t>El cliente rechazo ampliar la cobertura de entrevistados.</t>
        </is>
      </c>
      <c r="L29" s="111" t="inlineStr">
        <is>
          <t>Aceptar el riesgo por escrito y compensarlo con artefactos en vez de entrevistas.</t>
        </is>
      </c>
    </row>
  </sheetData>
  <dataValidations count="1">
    <dataValidation sqref="J5:J24" showDropDown="0" showInputMessage="0" showErrorMessage="0" allowBlank="1" type="list">
      <formula1>"Abierto,Enviado,Respondido,Cerrado"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4"/>
  <sheetViews>
    <sheetView showGridLines="0" zoomScaleNormal="100" workbookViewId="0">
      <pane ySplit="4" topLeftCell="A5" activePane="bottomLeft" state="frozen"/>
      <selection pane="bottomLeft" activeCell="A1" sqref="A1"/>
    </sheetView>
  </sheetViews>
  <sheetFormatPr baseColWidth="10" defaultColWidth="8.6640625" defaultRowHeight="14.4"/>
  <cols>
    <col width="5" customWidth="1" min="1" max="1"/>
    <col width="34" customWidth="1" min="2" max="2"/>
    <col width="40" customWidth="1" min="3" max="3"/>
    <col width="76" customWidth="1" min="4" max="4"/>
    <col width="24" customWidth="1" min="5" max="5"/>
    <col width="14" customWidth="1" min="6" max="6"/>
    <col width="52" customWidth="1" min="7" max="7"/>
  </cols>
  <sheetData>
    <row r="1" ht="21" customHeight="1">
      <c r="A1" s="4" t="inlineStr">
        <is>
          <t>Estrategias rapidas para cerrar las brechas</t>
        </is>
      </c>
    </row>
    <row r="2">
      <c r="A2" s="92" t="inlineStr">
        <is>
          <t>Principio: no pidas otra sesion de 90 minutos. Fragmenta en piezas de 20 minutos, mensajes de una sola pregunta y peticiones de archivos. Actualizado el 05-ago-2026: la columna G dice que tactica ya se uso. El calendario de 10 dias de abajo se ejecuto parcialmente; lo que quedo pendiente esta en la hoja 'Estado tras Sesion 2'.</t>
        </is>
      </c>
    </row>
    <row r="4" ht="33.75" customHeight="1">
      <c r="A4" s="15" t="inlineStr">
        <is>
          <t>#</t>
        </is>
      </c>
      <c r="B4" s="15" t="inlineStr">
        <is>
          <t>Tactica</t>
        </is>
      </c>
      <c r="C4" s="15" t="inlineStr">
        <is>
          <t>Cuando usarla</t>
        </is>
      </c>
      <c r="D4" s="15" t="inlineStr">
        <is>
          <t>Como se ejecuta</t>
        </is>
      </c>
      <c r="E4" s="15" t="inlineStr">
        <is>
          <t>Brechas que cierra</t>
        </is>
      </c>
      <c r="F4" s="15" t="inlineStr">
        <is>
          <t>Esfuerzo</t>
        </is>
      </c>
      <c r="G4" s="93" t="inlineStr">
        <is>
          <t>Estado al 05-ago-2026</t>
        </is>
      </c>
    </row>
    <row r="5" ht="81.75" customHeight="1">
      <c r="A5" s="48" t="n">
        <v>1</v>
      </c>
      <c r="B5" s="49" t="inlineStr">
        <is>
          <t>Acta con preguntas embebidas</t>
        </is>
      </c>
      <c r="C5" s="50" t="inlineStr">
        <is>
          <t>Dentro de las primeras 48 h despues de la sesion. Es lo primero que debes hacer.</t>
        </is>
      </c>
      <c r="D5" s="50" t="inlineStr">
        <is>
          <t>Envia por correo el resumen de lo que entendiste, en 7 u 8 vinetas, y al final numera maximo 5 preguntas cortas. Responder por escrito le cuesta menos al cliente que agendar una reunion, y de paso recuperas el cierre que se perdio (P42 a P45). Truco: escribe el resumen con una o dos imprecisiones deliberadas y evidentes. La gente que no responde preguntas si corrige errores.</t>
        </is>
      </c>
      <c r="E5" s="50" t="inlineStr">
        <is>
          <t>BR-10, BR-17</t>
        </is>
      </c>
      <c r="F5" s="50" t="inlineStr">
        <is>
          <t>30 min</t>
        </is>
      </c>
      <c r="G5" s="142" t="inlineStr">
        <is>
          <t>HECHA - La sesion 2 cumplio esta funcion: se valido el entendimiento y se recupero el bloque de cierre.</t>
        </is>
      </c>
    </row>
    <row r="6" ht="81.75" customHeight="1">
      <c r="A6" s="51" t="n">
        <v>2</v>
      </c>
      <c r="B6" s="52" t="inlineStr">
        <is>
          <t>Micro-reuniones tematicas de 20 a 30 min</t>
        </is>
      </c>
      <c r="C6" s="46" t="inlineStr">
        <is>
          <t>Para las brechas criticas que necesitan conversacion, no texto.</t>
        </is>
      </c>
      <c r="D6" s="46" t="inlineStr">
        <is>
          <t>Cuatro sesiones cortas en vez de una larga: (1) TI y sistema actual mas PowerBI; (2) taller del motor de proyeccion con el director; (3) ventas y planeacion; (4) calidad y Florverde. Agenda cada una con un asunto de una linea que diga exactamente que se decide ahi. Una reunion sin decision anunciada se cancela; una con decision anunciada se respeta.</t>
        </is>
      </c>
      <c r="E6" s="46" t="inlineStr">
        <is>
          <t>BR-01, BR-02, BR-03, BR-07, BR-16</t>
        </is>
      </c>
      <c r="F6" s="46" t="inlineStr">
        <is>
          <t>2 h en total</t>
        </is>
      </c>
      <c r="G6" s="143" t="inlineStr">
        <is>
          <t>PARCIAL - Se hizo una sesion larga en vez de cuatro cortas, y funciono. Faltan las de TI/sistema actual y la de ventas.</t>
        </is>
      </c>
    </row>
    <row r="7" ht="81.75" customHeight="1">
      <c r="A7" s="48" t="n">
        <v>3</v>
      </c>
      <c r="B7" s="49" t="inlineStr">
        <is>
          <t>Reconstruir el calculo con un caso real</t>
        </is>
      </c>
      <c r="C7" s="50" t="inlineStr">
        <is>
          <t>Para BR-03, la brecha mas critica. No se resuelve preguntando 'como proyectas'.</t>
        </is>
      </c>
      <c r="D7" s="50" t="inlineStr">
        <is>
          <t>Sientate con el director y una sola cama real. Pide los numeros de esa cama: esquejes sembrados, fecha de siembra, tallos esperados, dia en que empezo el corte, cuantos dias duro, cuantos tallos por dia, cuanto se perdio. Con un caso completo tienes la formula; con tres, tienes el modelo. Llevalo en una hoja de calculo abierta y calcula frente a el: cuando vea un numero que no cuadra, va a corregirte solo.</t>
        </is>
      </c>
      <c r="E7" s="50" t="inlineStr">
        <is>
          <t>BR-03, BR-04, BR-09</t>
        </is>
      </c>
      <c r="F7" s="50" t="inlineStr">
        <is>
          <t>60 min</t>
        </is>
      </c>
      <c r="G7" s="144" t="inlineStr">
        <is>
          <t>PENDIENTE - Lo mas importante que queda. Se avanzo en la estructura del calculo pero sin una cama real con numeros. Ver BR-23.</t>
        </is>
      </c>
    </row>
    <row r="8" ht="81.75" customHeight="1">
      <c r="A8" s="51" t="n">
        <v>4</v>
      </c>
      <c r="B8" s="52" t="inlineStr">
        <is>
          <t>Acompanamiento en campo (shadowing)</t>
        </is>
      </c>
      <c r="C8" s="46" t="inlineStr">
        <is>
          <t>Cuando el cliente dice 'todo esta sistematizado' y sospechas que no.</t>
        </is>
      </c>
      <c r="D8" s="46" t="inlineStr">
        <is>
          <t>Pide ir un dia de siembra y seguir al supervisor durante dos horas, sin preguntar nada, solo mirando y fotografiando los formatos. Dos horas ahi valen mas que tres entrevistas: ves la letra, los tachones, el orden real de los pasos y en que momento se pierde el dato. Tambien resuelves la conectividad caminando con el celular en la mano.</t>
        </is>
      </c>
      <c r="E8" s="46" t="inlineStr">
        <is>
          <t>BR-05, BR-06, BR-14</t>
        </is>
      </c>
      <c r="F8" s="46" t="inlineStr">
        <is>
          <t>2 h, alto valor</t>
        </is>
      </c>
      <c r="G8" s="144" t="inlineStr">
        <is>
          <t>PENDIENTE - No se ha ido a campo. Sigue siendo la tactica de mejor relacion esfuerzo/resultado que queda sin usar.</t>
        </is>
      </c>
    </row>
    <row r="9" ht="81.75" customHeight="1">
      <c r="A9" s="48" t="n">
        <v>5</v>
      </c>
      <c r="B9" s="49" t="inlineStr">
        <is>
          <t>Pedir artefactos en vez de explicaciones</t>
        </is>
      </c>
      <c r="C9" s="50" t="inlineStr">
        <is>
          <t>Siempre. Es la tactica de mejor relacion esfuerzo/resultado.</t>
        </is>
      </c>
      <c r="D9" s="50" t="inlineStr">
        <is>
          <t>Los documentos no se cansan ni olvidan. Pide: los formatos en papel llenos de esta semana, un export del sistema actual, captura del tablero de PowerBI, el presupuesto de produccion del ano, la tabla de grados, y los formatos de Florverde. Un archivo real te contesta veinte preguntas que nunca hiciste.</t>
        </is>
      </c>
      <c r="E9" s="50" t="inlineStr">
        <is>
          <t>BR-01, BR-02, BR-11, BR-15</t>
        </is>
      </c>
      <c r="F9" s="50" t="inlineStr">
        <is>
          <t>10 min</t>
        </is>
      </c>
      <c r="G9" s="144" t="inlineStr">
        <is>
          <t>PENDIENTE - Se pidieron los documentos dos veces y no ha llegado ninguno. ESTE ES EL BLOQUEO REAL DEL PROYECTO.</t>
        </is>
      </c>
    </row>
    <row r="10" ht="81.75" customHeight="1">
      <c r="A10" s="51" t="n">
        <v>6</v>
      </c>
      <c r="B10" s="52" t="inlineStr">
        <is>
          <t>Cerrar con opciones, no con preguntas abiertas</t>
        </is>
      </c>
      <c r="C10" s="46" t="inlineStr">
        <is>
          <t>Cuando el cliente no supo responder, como paso en P17 y P39.</t>
        </is>
      </c>
      <c r="D10" s="46" t="inlineStr">
        <is>
          <t>Si no entendio la pregunta, el problema es la pregunta. Reformula ofreciendo dos o tres opciones concretas y deja abierta la salida: 'es A, B, o ninguna de las dos?'. Responder eligiendo cuesta mucho menos que responder explicando, y si ninguna le cuadra, corregirte le sale natural.</t>
        </is>
      </c>
      <c r="E10" s="46" t="inlineStr">
        <is>
          <t>BR-04, BR-08, BR-12</t>
        </is>
      </c>
      <c r="F10" s="46" t="inlineStr">
        <is>
          <t>0</t>
        </is>
      </c>
      <c r="G10" s="142" t="inlineStr">
        <is>
          <t>HECHA - Se uso en la sesion 2 y funciono: el cruce con pedidos se cerro ofreciendo opcion A o B, y el cliente eligio A de inmediato.</t>
        </is>
      </c>
    </row>
    <row r="11" ht="81.75" customHeight="1">
      <c r="A11" s="48" t="n">
        <v>7</v>
      </c>
      <c r="B11" s="49" t="inlineStr">
        <is>
          <t>Validar con un prototipo, no con un documento</t>
        </is>
      </c>
      <c r="C11" s="50" t="inlineStr">
        <is>
          <t>Para la segunda sesion, cuando ya tengas las brechas criticas cerradas.</t>
        </is>
      </c>
      <c r="D11" s="50" t="inlineStr">
        <is>
          <t>Arma una pantalla falsa o un Excel simulado con datos inventados pero realistas de esta finca y ponlo enfrente. La gente corrige mucho mejor de lo que especifica. En 20 minutos vas a sacar mas requisitos que en toda la primera entrevista.</t>
        </is>
      </c>
      <c r="E11" s="50" t="inlineStr">
        <is>
          <t>Validacion general</t>
        </is>
      </c>
      <c r="F11" s="50" t="inlineStr">
        <is>
          <t>3 h de armado</t>
        </is>
      </c>
      <c r="G11" s="143" t="inlineStr">
        <is>
          <t>PENDIENTE - Es el siguiente paso natural una vez lleguen los documentos.</t>
        </is>
      </c>
    </row>
    <row r="12" ht="81.75" customHeight="1">
      <c r="A12" s="51" t="n">
        <v>8</v>
      </c>
      <c r="B12" s="52" t="inlineStr">
        <is>
          <t>Una pregunta por mensaje en WhatsApp</t>
        </is>
      </c>
      <c r="C12" s="46" t="inlineStr">
        <is>
          <t>Para todo lo que no requiera conversacion.</t>
        </is>
      </c>
      <c r="D12" s="46" t="inlineStr">
        <is>
          <t>Nunca mandes tres preguntas juntas: te contestan la ultima. Una pregunta por mensaje, cerrada, con contexto minimo de una linea, y siempre ofreciendo la salida facil ('si no lo tienes a la mano, un estimado tuyo me sirve'). Manda como maximo dos al dia y respeta el horario laboral.</t>
        </is>
      </c>
      <c r="E12" s="46" t="inlineStr">
        <is>
          <t>La mayoria de las medias</t>
        </is>
      </c>
      <c r="F12" s="46" t="inlineStr">
        <is>
          <t>2 min c/u</t>
        </is>
      </c>
      <c r="G12" s="143" t="inlineStr">
        <is>
          <t>PARCIAL - Se uso poco. Sigue siendo el canal correcto para BR-21, BR-22, BR-11 y BR-14.</t>
        </is>
      </c>
    </row>
    <row r="13" ht="81.75" customHeight="1">
      <c r="A13" s="48" t="n">
        <v>9</v>
      </c>
      <c r="B13" s="49" t="inlineStr">
        <is>
          <t>Confirmar entendiendo al reves</t>
        </is>
      </c>
      <c r="C13" s="50" t="inlineStr">
        <is>
          <t>Para reglas de negocio que creiste entender.</t>
        </is>
      </c>
      <c r="D13" s="50" t="inlineStr">
        <is>
          <t>En vez de preguntar, afirma lo que entendiste y pide correccion: 'Yo entendi que cuando una cama se erradica, lo que ya estaba vendido de ahi se compra a terceros. Es asi o me falta algo?'. Corregir es mas rapido y mas comodo que explicar desde cero, y ademas revela los matices.</t>
        </is>
      </c>
      <c r="E13" s="50" t="inlineStr">
        <is>
          <t>BR-18, reglas en general</t>
        </is>
      </c>
      <c r="F13" s="50" t="inlineStr">
        <is>
          <t>0</t>
        </is>
      </c>
      <c r="G13" s="142" t="inlineStr">
        <is>
          <t>HECHA - Se uso mucho en la sesion 2 y ahi se resolvieron las cuatro contradicciones de la sesion 1.</t>
        </is>
      </c>
    </row>
    <row r="14" ht="81.75" customHeight="1">
      <c r="A14" s="51" t="n">
        <v>10</v>
      </c>
      <c r="B14" s="52" t="inlineStr">
        <is>
          <t>Escalar a gerencia con el numero del dolor</t>
        </is>
      </c>
      <c r="C14" s="46" t="inlineStr">
        <is>
          <t>Si el cliente deja de responder o no consigues acceso a otras areas.</t>
        </is>
      </c>
      <c r="D14" s="46" t="inlineStr">
        <is>
          <t>Ya tienes las cifras: 8 dias de latencia, 4 horas semanales de digitacion, 2% de error. Presentalas a gerencia como costo actual y pide acceso a las otras areas para poder cuantificar el resto. Un numero abre puertas que un correo de seguimiento no abre.</t>
        </is>
      </c>
      <c r="E14" s="46" t="inlineStr">
        <is>
          <t>BR-10, BR-16</t>
        </is>
      </c>
      <c r="F14" s="46" t="inlineStr">
        <is>
          <t>20 min</t>
        </is>
      </c>
      <c r="G14" s="145" t="inlineStr">
        <is>
          <t>SIN USAR - No ha hecho falta: el cliente responde. Guardarla por si se enfria.</t>
        </is>
      </c>
    </row>
    <row r="16" ht="15.6" customHeight="1">
      <c r="B16" s="9" t="inlineStr">
        <is>
          <t>Orden sugerido para los proximos 10 dias</t>
        </is>
      </c>
    </row>
    <row r="17" ht="24" customHeight="1">
      <c r="B17" s="53" t="inlineStr">
        <is>
          <t>Dia 1</t>
        </is>
      </c>
      <c r="C17" s="1" t="inlineStr">
        <is>
          <t>Enviar el acta con preguntas embebidas (mensaje M1). Es lo unico verdaderamente urgente.</t>
        </is>
      </c>
    </row>
    <row r="18" ht="24" customHeight="1">
      <c r="B18" s="53" t="inlineStr">
        <is>
          <t>Dia 1</t>
        </is>
      </c>
      <c r="C18" s="1" t="inlineStr">
        <is>
          <t>Mandar por WhatsApp M2 (contradiccion de conectividad) y M3 (foto de los formatos).</t>
        </is>
      </c>
    </row>
    <row r="19" ht="24" customHeight="1">
      <c r="B19" s="53" t="inlineStr">
        <is>
          <t>Dia 2-3</t>
        </is>
      </c>
      <c r="C19" s="1" t="inlineStr">
        <is>
          <t>Agendar la micro-reunion de sistema actual y PowerBI. Es la brecha que mas puede cambiar el proyecto.</t>
        </is>
      </c>
    </row>
    <row r="20" ht="24" customHeight="1">
      <c r="B20" s="53" t="inlineStr">
        <is>
          <t>Dia 3-4</t>
        </is>
      </c>
      <c r="C20" s="1" t="inlineStr">
        <is>
          <t>Taller de 60 min para reconstruir el calculo con una cama real.</t>
        </is>
      </c>
    </row>
    <row r="21" ht="24" customHeight="1">
      <c r="B21" s="53" t="inlineStr">
        <is>
          <t>Dia 5</t>
        </is>
      </c>
      <c r="C21" s="1" t="inlineStr">
        <is>
          <t>Visita de campo de 2 horas en un dia de siembra.</t>
        </is>
      </c>
    </row>
    <row r="22" ht="24" customHeight="1">
      <c r="B22" s="53" t="inlineStr">
        <is>
          <t>Dia 6-7</t>
        </is>
      </c>
      <c r="C22" s="1" t="inlineStr">
        <is>
          <t>Micro-reunion con ventas: alcance del cruce con pedidos y costo del error.</t>
        </is>
      </c>
    </row>
    <row r="23" ht="24" customHeight="1">
      <c r="B23" s="53" t="inlineStr">
        <is>
          <t>Dia 8-9</t>
        </is>
      </c>
      <c r="C23" s="1" t="inlineStr">
        <is>
          <t>Armar el prototipo con datos simulados de la finca.</t>
        </is>
      </c>
    </row>
    <row r="24" ht="24" customHeight="1">
      <c r="B24" s="53" t="inlineStr">
        <is>
          <t>Dia 10</t>
        </is>
      </c>
      <c r="C24" s="1" t="inlineStr">
        <is>
          <t>Sesion de validacion de 45 min sobre el prototipo. Recien ahi puedes estimar.</t>
        </is>
      </c>
    </row>
  </sheetData>
  <mergeCells count="8">
    <mergeCell ref="C22:F22"/>
    <mergeCell ref="C18:F18"/>
    <mergeCell ref="C23:F23"/>
    <mergeCell ref="C17:F17"/>
    <mergeCell ref="C20:F20"/>
    <mergeCell ref="C21:F21"/>
    <mergeCell ref="C24:F24"/>
    <mergeCell ref="C19:F19"/>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19"/>
  <sheetViews>
    <sheetView showGridLines="0" zoomScaleNormal="100" workbookViewId="0">
      <pane ySplit="4" topLeftCell="A5" activePane="bottomLeft" state="frozen"/>
      <selection pane="bottomLeft" activeCell="A1" sqref="A1"/>
    </sheetView>
  </sheetViews>
  <sheetFormatPr baseColWidth="10" defaultColWidth="8.6640625" defaultRowHeight="14.4"/>
  <cols>
    <col width="7" customWidth="1" min="1" max="1"/>
    <col width="12" customWidth="1" min="2" max="2"/>
    <col width="22" customWidth="1" min="3" max="4"/>
    <col width="104" customWidth="1" min="5" max="5"/>
    <col width="16" customWidth="1" min="6" max="6"/>
    <col width="52" customWidth="1" min="7" max="7"/>
  </cols>
  <sheetData>
    <row r="1" ht="21" customHeight="1">
      <c r="A1" s="4" t="inlineStr">
        <is>
          <t>Mensajes listos para enviar</t>
        </is>
      </c>
    </row>
    <row r="2">
      <c r="A2" s="92" t="inlineStr">
        <is>
          <t>Copiar, ajustar nombres y enviar. Actualizado el 05-ago-2026: la columna G dice cuales ya se resolvieron en la sesion 2 y cuales siguen vigentes. M13 a M15 son nuevos, salidos del analisis de la sesion 2. Recuerda la convencion de WhatsApp: nada de asteriscos ni guiones al inicio de linea.</t>
        </is>
      </c>
    </row>
    <row r="4" ht="33.75" customHeight="1">
      <c r="A4" s="15" t="inlineStr">
        <is>
          <t>ID</t>
        </is>
      </c>
      <c r="B4" s="15" t="inlineStr">
        <is>
          <t>Canal</t>
        </is>
      </c>
      <c r="C4" s="15" t="inlineStr">
        <is>
          <t>Para</t>
        </is>
      </c>
      <c r="D4" s="15" t="inlineStr">
        <is>
          <t>Cuando</t>
        </is>
      </c>
      <c r="E4" s="15" t="inlineStr">
        <is>
          <t>Texto listo para copiar</t>
        </is>
      </c>
      <c r="F4" s="15" t="inlineStr">
        <is>
          <t>Cierra</t>
        </is>
      </c>
      <c r="G4" s="93" t="inlineStr">
        <is>
          <t>Estado al 05-ago-2026</t>
        </is>
      </c>
    </row>
    <row r="5" ht="409.6" customHeight="1">
      <c r="A5" s="54" t="inlineStr">
        <is>
          <t>M1</t>
        </is>
      </c>
      <c r="B5" s="42" t="inlineStr">
        <is>
          <t>Correo</t>
        </is>
      </c>
      <c r="C5" s="20" t="inlineStr">
        <is>
          <t>Director de produccion</t>
        </is>
      </c>
      <c r="D5" s="20" t="inlineStr">
        <is>
          <t>Hoy mismo</t>
        </is>
      </c>
      <c r="E5" s="55" t="inlineStr">
        <is>
          <t>Asunto: Resumen de nuestra conversacion + 5 dudas cortas
Hola [nombre],
Gracias por el tiempo del [dia]. Te dejo por escrito lo que entendi, para que me corrijas si algo quedo torcido:
1. La finca son 15 ha organizadas en bloques, naves y camas, con 9 variedades activas y ciclos de 3 a 5 meses.
2. Proyectan a un ano o ano y medio para armar el presupuesto, y despues lo van ajustando contra la realidad.
3. El ajuste lo haces yendo fisicamente a la cama: subes o bajas un porcentaje de produccion y corres la fecha de corte unos dias.
4. Hoy se registra basicamente la siembra. El supervisor llena formatos a mano (1 hora al dia) y un practicante los digita (4 horas a la semana).
5. Planeacion y gerencia terminan viendo el dato 8 dias despues, con un error cercano al 2%.
6. Los reportes salen hoy en PowerBI, semanalmente.
7. El foco del proyecto, en tus palabras, es la captura de datos de siembra y produccion.
Cinco dudas cortas, con responder en una linea cada una me sirve:
a) Cuando dices 'el sistema', a cual te refieres? Como se llama y quien lo administra?
b) El PowerBI actual se queda y nosotros le entregamos los datos, o quieren informes nuevos dentro del sistema?
c) Con quien mas deberia hablar de planeacion, ventas y calidad? Me los presentas?
d) Me puedes compartir el presupuesto de produccion de este ano y los formatos que llena el supervisor?
e) Te queda bien una sesion de 45 minutos la proxima semana para mostrarte un boceto?
Quedo atento,
[tu nombre]</t>
        </is>
      </c>
      <c r="F5" s="20" t="inlineStr">
        <is>
          <t>BR-10, BR-01, BR-02, BR-17</t>
        </is>
      </c>
      <c r="G5" s="142" t="inlineStr">
        <is>
          <t>YA NO HACE FALTA - La sesion 2 cubrio el resumen y la validacion.</t>
        </is>
      </c>
    </row>
    <row r="6" ht="60" customHeight="1">
      <c r="A6" s="54" t="inlineStr">
        <is>
          <t>M2</t>
        </is>
      </c>
      <c r="B6" s="38" t="inlineStr">
        <is>
          <t>WhatsApp</t>
        </is>
      </c>
      <c r="C6" s="20" t="inlineStr">
        <is>
          <t>Supervisor o director</t>
        </is>
      </c>
      <c r="D6" s="20" t="inlineStr">
        <is>
          <t>Hoy</t>
        </is>
      </c>
      <c r="E6" s="55" t="inlineStr">
        <is>
          <t>Hola [nombre], una duda corta que me quedo del cultivo: me dijiste que alla no hay senal ni wifi, pero tambien que el formato de plagas se llena en el celular y sube al sistema. En que momento sube? Lo llenan en la cama y sube despues, o lo llenan ya afuera? Es para saber si la app tiene que funcionar sin internet.</t>
        </is>
      </c>
      <c r="F6" s="20" t="inlineStr">
        <is>
          <t>BR-05</t>
        </is>
      </c>
      <c r="G6" s="142" t="inlineStr">
        <is>
          <t>RESUELTO - La app de plagas es local en el celular y sube despues. Es offline-first, no habia contradiccion.</t>
        </is>
      </c>
    </row>
    <row r="7" ht="60" customHeight="1">
      <c r="A7" s="54" t="inlineStr">
        <is>
          <t>M3</t>
        </is>
      </c>
      <c r="B7" s="38" t="inlineStr">
        <is>
          <t>WhatsApp</t>
        </is>
      </c>
      <c r="C7" s="20" t="inlineStr">
        <is>
          <t>Supervisor de siembra</t>
        </is>
      </c>
      <c r="D7" s="20" t="inlineStr">
        <is>
          <t>Hoy</t>
        </is>
      </c>
      <c r="E7" s="55" t="inlineStr">
        <is>
          <t>Hola [nombre], me harias un favor grande: cuando llenes los formatos de esta semana, me mandas una foto de como quedan llenos? Tal cual, con la letra y los tachones. No es para revisarte nada, es para disenar la pantalla parecida a lo que ya usas y que no te cambie la rutina.</t>
        </is>
      </c>
      <c r="F7" s="20" t="inlineStr">
        <is>
          <t>BR-06</t>
        </is>
      </c>
      <c r="G7" s="144" t="inlineStr">
        <is>
          <t>SIGUE VIGENTE - La foto de los formatos nunca llego. Reenviar.</t>
        </is>
      </c>
    </row>
    <row r="8" ht="60" customHeight="1">
      <c r="A8" s="54" t="inlineStr">
        <is>
          <t>M4</t>
        </is>
      </c>
      <c r="B8" s="38" t="inlineStr">
        <is>
          <t>WhatsApp</t>
        </is>
      </c>
      <c r="C8" s="20" t="inlineStr">
        <is>
          <t>Director de produccion</t>
        </is>
      </c>
      <c r="D8" s="20" t="inlineStr">
        <is>
          <t>Dia 1-2</t>
        </is>
      </c>
      <c r="E8" s="55" t="inlineStr">
        <is>
          <t>Hola [nombre], creo que la pregunta de las etapas te la hice enredada. Te la pongo mas simple con un ejemplo: si hoy voy y veo una cama en desbotone, en cuantos dias mas o menos empieza el corte? Y si la veo en boton color? Un estimado tuyo me sirve, no necesito exactitud.</t>
        </is>
      </c>
      <c r="F8" s="20" t="inlineStr">
        <is>
          <t>BR-04</t>
        </is>
      </c>
      <c r="G8" s="142" t="inlineStr">
        <is>
          <t>RESUELTO - Desbotone a corte 3 semanas, boton color a corte ~12 dias.</t>
        </is>
      </c>
    </row>
    <row r="9" ht="60" customHeight="1">
      <c r="A9" s="54" t="inlineStr">
        <is>
          <t>M5</t>
        </is>
      </c>
      <c r="B9" s="38" t="inlineStr">
        <is>
          <t>WhatsApp</t>
        </is>
      </c>
      <c r="C9" s="20" t="inlineStr">
        <is>
          <t>Director de produccion</t>
        </is>
      </c>
      <c r="D9" s="20" t="inlineStr">
        <is>
          <t>Dia 2</t>
        </is>
      </c>
      <c r="E9" s="55" t="inlineStr">
        <is>
          <t>Hola [nombre], sobre el 6% de desviacion que me comentaste: ese numero compara el presupuesto contra la proyeccion, o contra lo que efectivamente se corto? Es que son cosas distintas y quiero no confundirlas en el documento.</t>
        </is>
      </c>
      <c r="F9" s="20" t="inlineStr">
        <is>
          <t>BR-09</t>
        </is>
      </c>
      <c r="G9" s="142" t="inlineStr">
        <is>
          <t>RESUELTO - El 6% compara presupuestado contra cortado real. Pero abrio BR-21, ver mensaje M13.</t>
        </is>
      </c>
    </row>
    <row r="10" ht="103.5" customHeight="1">
      <c r="A10" s="54" t="inlineStr">
        <is>
          <t>M6</t>
        </is>
      </c>
      <c r="B10" s="38" t="inlineStr">
        <is>
          <t>WhatsApp</t>
        </is>
      </c>
      <c r="C10" s="20" t="inlineStr">
        <is>
          <t>Director de produccion</t>
        </is>
      </c>
      <c r="D10" s="20" t="inlineStr">
        <is>
          <t>Dia 2-3</t>
        </is>
      </c>
      <c r="E10" s="55" t="inlineStr">
        <is>
          <t>Hola [nombre], necesito cerrar un punto de alcance y te lo pongo como opciones para que sea rapido:
A) El sistema muestra solo cuanta flor vamos a tener.
B) Ademas muestra cuanta ya esta comprometida y con que cliente.
Si es B, la dejamos en la primera fase o la pasamos a una segunda? Solo dime A, B1 o B2 y yo lo documento.</t>
        </is>
      </c>
      <c r="F10" s="20" t="inlineStr">
        <is>
          <t>BR-07</t>
        </is>
      </c>
      <c r="G10" s="142" t="inlineStr">
        <is>
          <t>RESUELTO - El cliente eligio A: el sistema solo muestra que flor se va a producir.</t>
        </is>
      </c>
    </row>
    <row r="11" ht="60" customHeight="1">
      <c r="A11" s="54" t="inlineStr">
        <is>
          <t>M7</t>
        </is>
      </c>
      <c r="B11" s="38" t="inlineStr">
        <is>
          <t>WhatsApp</t>
        </is>
      </c>
      <c r="C11" s="20" t="inlineStr">
        <is>
          <t>Director de produccion</t>
        </is>
      </c>
      <c r="D11" s="20" t="inlineStr">
        <is>
          <t>Dia 3</t>
        </is>
      </c>
      <c r="E11" s="55" t="inlineStr">
        <is>
          <t>Hola [nombre], te pido 60 minutos para una sola cosa: reconstruir contigo el calculo de la proyeccion con un caso real. Escoge una cama cualquiera y llevamos sus numeros (esquejes sembrados, fecha, cuanto esperabas, cuando empezo el corte, cuanto duro y cuanto salio). Con un ejemplo completo entiendo la logica y no te vuelvo a preguntar lo mismo de diez formas distintas.</t>
        </is>
      </c>
      <c r="F11" s="20" t="inlineStr">
        <is>
          <t>BR-03</t>
        </is>
      </c>
      <c r="G11" s="144" t="inlineStr">
        <is>
          <t>SIGUE VIGENTE - El taller de la cama real no se ha hecho. Es lo que cierra BR-23.</t>
        </is>
      </c>
    </row>
    <row r="12" ht="60" customHeight="1">
      <c r="A12" s="54" t="inlineStr">
        <is>
          <t>M8</t>
        </is>
      </c>
      <c r="B12" s="38" t="inlineStr">
        <is>
          <t>WhatsApp</t>
        </is>
      </c>
      <c r="C12" s="20" t="inlineStr">
        <is>
          <t>Director de produccion</t>
        </is>
      </c>
      <c r="D12" s="20" t="inlineStr">
        <is>
          <t>Dia 4</t>
        </is>
      </c>
      <c r="E12" s="55" t="inlineStr">
        <is>
          <t>Hola [nombre], podria acompanar al supervisor un dia de siembra, unas dos horas? Voy solo a mirar, sin interrumpir. Ver el proceso en vivo me ahorra a mi como tres reuniones y a ti todas mis preguntas.</t>
        </is>
      </c>
      <c r="F12" s="20" t="inlineStr">
        <is>
          <t>BR-05, BR-06, BR-14</t>
        </is>
      </c>
      <c r="G12" s="144" t="inlineStr">
        <is>
          <t>SIGUE VIGENTE - La visita de campo no se ha hecho.</t>
        </is>
      </c>
    </row>
    <row r="13" ht="90.75" customHeight="1">
      <c r="A13" s="54" t="inlineStr">
        <is>
          <t>M9</t>
        </is>
      </c>
      <c r="B13" s="38" t="inlineStr">
        <is>
          <t>WhatsApp</t>
        </is>
      </c>
      <c r="C13" s="20" t="inlineStr">
        <is>
          <t>Director de produccion</t>
        </is>
      </c>
      <c r="D13" s="20" t="inlineStr">
        <is>
          <t>Dia 4-5</t>
        </is>
      </c>
      <c r="E13" s="55" t="inlineStr">
        <is>
          <t>Hola [nombre], tres datos rapidos cuando puedas, un estimado me sirve:
1) Cuantos registros de siembra o produccion se llenan en un dia pico?
2) Cuantas personas estarian usando el sistema al mismo tiempo?
3) Los supervisores usan celular propio o de la finca?</t>
        </is>
      </c>
      <c r="F13" s="20" t="inlineStr">
        <is>
          <t>BR-13, BR-14</t>
        </is>
      </c>
      <c r="G13" s="143" t="inlineStr">
        <is>
          <t>PARCIAL - Ya se sabe: 3 capturan, ~12 usan, ~20 consultan. Falta el punto 1 (registros en dia pico) y el punto 3 (celulares).</t>
        </is>
      </c>
    </row>
    <row r="14" ht="60" customHeight="1">
      <c r="A14" s="54" t="inlineStr">
        <is>
          <t>M10</t>
        </is>
      </c>
      <c r="B14" s="38" t="inlineStr">
        <is>
          <t>WhatsApp</t>
        </is>
      </c>
      <c r="C14" s="20" t="inlineStr">
        <is>
          <t>Director de produccion</t>
        </is>
      </c>
      <c r="D14" s="20" t="inlineStr">
        <is>
          <t>Cuando aplique</t>
        </is>
      </c>
      <c r="E14" s="55" t="inlineStr">
        <is>
          <t>Hola [nombre], quiero confirmar que entendi bien esto: cuando se decide erradicar una cama a mitad de ciclo porque no hay ventas o viene enferma, lo que ya estaba vendido de ahi se cubre comprando a terceros. Es asi o me esta faltando un paso?</t>
        </is>
      </c>
      <c r="F14" s="20" t="inlineStr">
        <is>
          <t>BR-18</t>
        </is>
      </c>
      <c r="G14" s="142" t="inlineStr">
        <is>
          <t>RESUELTO - Se erradica, se digita, el sistema resta, y lo vendido se cancela o se compra a terceros. Pasa semanalmente.</t>
        </is>
      </c>
    </row>
    <row r="15" ht="117" customHeight="1">
      <c r="A15" s="54" t="inlineStr">
        <is>
          <t>M11</t>
        </is>
      </c>
      <c r="B15" s="42" t="inlineStr">
        <is>
          <t>Correo</t>
        </is>
      </c>
      <c r="C15" s="20" t="inlineStr">
        <is>
          <t>Jefe de calidad</t>
        </is>
      </c>
      <c r="D15" s="20" t="inlineStr">
        <is>
          <t>Dia 3</t>
        </is>
      </c>
      <c r="E15" s="55" t="inlineStr">
        <is>
          <t>Asunto: Registros que exige Florverde
Hola [nombre], estoy levantando los requisitos del sistema de produccion con [nombre del director]. Me puedes compartir los formatos o el listado de registros que exige Florverde, y cada cuanto los auditan? Quiero asegurarme de que el sistema los genere desde el inicio y no tocar nada dos veces.
Gracias,
[tu nombre]</t>
        </is>
      </c>
      <c r="F15" s="20" t="inlineStr">
        <is>
          <t>BR-15</t>
        </is>
      </c>
      <c r="G15" s="142" t="inlineStr">
        <is>
          <t>YA NO APLICA - Florverde quedo fuera del alcance por decision del cliente.</t>
        </is>
      </c>
    </row>
    <row r="16" ht="60" customHeight="1">
      <c r="A16" s="54" t="inlineStr">
        <is>
          <t>M12</t>
        </is>
      </c>
      <c r="B16" s="38" t="inlineStr">
        <is>
          <t>WhatsApp</t>
        </is>
      </c>
      <c r="C16" s="20" t="inlineStr">
        <is>
          <t>Director, a las 72 h sin respuesta</t>
        </is>
      </c>
      <c r="D16" s="20" t="inlineStr">
        <is>
          <t>Solo si no contesta</t>
        </is>
      </c>
      <c r="E16" s="55" t="inlineStr">
        <is>
          <t>Hola [nombre], se que estas ocupado. De todo lo que te mande, lo unico que me tiene frenado es una sola cosa: saber cual es el sistema que usan hoy. Con eso avanzo y lo demas puede esperar.</t>
        </is>
      </c>
      <c r="F16" s="20" t="inlineStr">
        <is>
          <t>Desbloqueo</t>
        </is>
      </c>
      <c r="G16" s="145" t="inlineStr">
        <is>
          <t>SIN USAR - El cliente responde bien. Guardar por si se enfria.</t>
        </is>
      </c>
    </row>
    <row r="17" ht="90" customHeight="1">
      <c r="A17" s="146" t="inlineStr">
        <is>
          <t>M13</t>
        </is>
      </c>
      <c r="B17" s="144" t="inlineStr">
        <is>
          <t>WhatsApp</t>
        </is>
      </c>
      <c r="C17" s="144" t="inlineStr">
        <is>
          <t>Director de produccion</t>
        </is>
      </c>
      <c r="D17" s="144" t="inlineStr">
        <is>
          <t>Hoy</t>
        </is>
      </c>
      <c r="E17" s="144" t="inlineStr">
        <is>
          <t>Hola [nombre], una duda que me quedo dando vueltas y es importante para no ponerle al proyecto una meta equivocada. El 6% de desviacion que me diste, lo miden sobre el total de la finca en el ano, o cama por cama? Y el 90 a 110% que quieres del sistema, a que nivel lo mides: por cama y por semana, o sobre el total? Te pregunto porque si el presupuesto ya queda a 6% del corte real, un 10% en la proyeccion seria una meta mas facil de la que ya cumplen, y quiero fijarla bien.</t>
        </is>
      </c>
      <c r="F17" s="144" t="inlineStr">
        <is>
          <t>BR-21</t>
        </is>
      </c>
      <c r="G17" s="144" t="inlineStr">
        <is>
          <t>NUEVO - creado tras la sesion 2. Enviar.</t>
        </is>
      </c>
    </row>
    <row r="18" ht="90" customHeight="1">
      <c r="A18" s="146" t="inlineStr">
        <is>
          <t>M14</t>
        </is>
      </c>
      <c r="B18" s="144" t="inlineStr">
        <is>
          <t>WhatsApp</t>
        </is>
      </c>
      <c r="C18" s="144" t="inlineStr">
        <is>
          <t>Director de produccion</t>
        </is>
      </c>
      <c r="D18" s="144" t="inlineStr">
        <is>
          <t>Hoy</t>
        </is>
      </c>
      <c r="E18" s="144" t="inlineStr">
        <is>
          <t>Hola [nombre], me quedo una diferencia entre las dos sesiones y quiero cerrarla: al principio me hablaste de 9 variedades activas y despues de unas 300 variedades y subvariedades. Las 9 son las que estan sembradas hoy y las 300 el catalogo completo de la finca? Cuantas manejan activas en una temporada normal?</t>
        </is>
      </c>
      <c r="F18" s="144" t="inlineStr">
        <is>
          <t>BR-22</t>
        </is>
      </c>
      <c r="G18" s="144" t="inlineStr">
        <is>
          <t>NUEVO - creado tras la sesion 2. Enviar.</t>
        </is>
      </c>
    </row>
    <row r="19" ht="90" customHeight="1">
      <c r="A19" s="146" t="inlineStr">
        <is>
          <t>M15</t>
        </is>
      </c>
      <c r="B19" s="144" t="inlineStr">
        <is>
          <t>WhatsApp</t>
        </is>
      </c>
      <c r="C19" s="144" t="inlineStr">
        <is>
          <t>Director de produccion</t>
        </is>
      </c>
      <c r="D19" s="144" t="inlineStr">
        <is>
          <t>Dia 1-2</t>
        </is>
      </c>
      <c r="E19" s="144" t="inlineStr">
        <is>
          <t>Hola [nombre], dos cosas del calculo de la proyeccion y con eso ya lo tengo completo. 1) El porcentaje de productividad por variedad, ese 90% o 80% que me explicaste, de donde lo sacan? Es un historico de ustedes, una tabla del ingeniero o viene en la ficha del proveedor de esquejes? 2) En los 7 dias que dura el corte de una cama, sale parejo cada dia o hay dias fuertes? Si me pasas los numeros de una cama real yo lo saco de ahi y no te vuelvo a preguntar.</t>
        </is>
      </c>
      <c r="F19" s="144" t="inlineStr">
        <is>
          <t>BR-23</t>
        </is>
      </c>
      <c r="G19" s="144" t="inlineStr">
        <is>
          <t>NUEVO - creado tras la sesion 2. Enviar.</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2026-08-03T23:20:50Z</dcterms:created>
  <dcterms:modified xmlns:dcterms="http://purl.org/dc/terms/" xmlns:xsi="http://www.w3.org/2001/XMLSchema-instance" xsi:type="dcterms:W3CDTF">2026-08-05T17:11:43Z</dcterms:modified>
  <cp:lastModifiedBy>Juan Pablo Avendaño Duque</cp:lastModifiedBy>
  <cp:revision>0</cp:revision>
</cp:coreProperties>
</file>