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o leer" sheetId="1" state="visible" r:id="rId3"/>
    <sheet name="Funcionalidades criticas" sheetId="2" state="visible" r:id="rId4"/>
  </sheets>
  <definedNames>
    <definedName function="false" hidden="true" localSheetId="1" name="_xlnm._FilterDatabase" vbProcedure="false">'Funcionalidades criticas'!$A$3:$E$22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<sst xmlns="http://schemas.openxmlformats.org/spreadsheetml/2006/main" count="136" uniqueCount="116">
  <si>
    <t xml:space="preserve">Funcionalidades criticas de FlorLogic</t>
  </si>
  <si>
    <t xml:space="preserve">Version 1.0 - 12-ago-2026 - modelo de negocio: SaaS multi-tenant</t>
  </si>
  <si>
    <t xml:space="preserve">Que es</t>
  </si>
  <si>
    <t xml:space="preserve">Un catalogo de las funcionalidades que se consideran primordiales para que el negocio de FlorLogic exista. Cada fila responde una sola pregunta: por que, sin esta funcionalidad, el producto pierde valor o deja de ser vendible.</t>
  </si>
  <si>
    <t xml:space="preserve">Que no es</t>
  </si>
  <si>
    <t xml:space="preserve">No es el catalogo completo de requisitos funcionales. Deja fuera a proposito todo lo que es deseable pero no primordial, y deja fuera el asistente de captura por lenguaje natural, que en la sesion del 11-ago-2026 el propio equipo reclasifico como decision de desarrollo y no como necesidad del usuario.</t>
  </si>
  <si>
    <t xml:space="preserve">De donde salio</t>
  </si>
  <si>
    <t xml:space="preserve">De las sesiones grabadas con el Director de Produccion (27-jul-2026 y 4-ago-2026), del cuestionario de 46 preguntas, del archivo 0_CONTEXTO_v3.md y de las decisiones de la reunion interna del 11-ago-2026 y de la revision del 12-ago-2026.</t>
  </si>
  <si>
    <t xml:space="preserve">Las columnas</t>
  </si>
  <si>
    <t xml:space="preserve">Identificador</t>
  </si>
  <si>
    <t xml:space="preserve">RF-XXX. Numeracion propia de este archivo. Los identificadores no se reutilizan: si una funcionalidad se invalida, se marca y se conserva la fila.</t>
  </si>
  <si>
    <t xml:space="preserve">Especificacion</t>
  </si>
  <si>
    <t xml:space="preserve">El requisito redactado con una sola capacidad por fila, verbo observable y sin solucion tecnica en el enunciado. La solucion, cuando existe, va en la observacion.</t>
  </si>
  <si>
    <t xml:space="preserve">Tipo de funcionalidad significativa</t>
  </si>
  <si>
    <t xml:space="preserve">Por que esta funcionalidad merece atencion arquitectonica: porque impacta el negocio, porque supone un reto tecnico, o por ambas razones.</t>
  </si>
  <si>
    <t xml:space="preserve">Justificacion</t>
  </si>
  <si>
    <t xml:space="preserve">Por que es importante para el plan de negocio. Responde que se pierde si la funcionalidad no existe, no que hace la funcionalidad.</t>
  </si>
  <si>
    <t xml:space="preserve">Observacion</t>
  </si>
  <si>
    <t xml:space="preserve">Contexto adicional a la justificacion: retos tecnicos concretos, brechas abiertas que la condicionan, precedentes utiles o consecuencias de diseno.</t>
  </si>
  <si>
    <t xml:space="preserve">Codigo de color del identificador</t>
  </si>
  <si>
    <t xml:space="preserve">Verde</t>
  </si>
  <si>
    <t xml:space="preserve">Sin brecha abierta que lo condicione. Se puede especificar y estimar hoy.</t>
  </si>
  <si>
    <t xml:space="preserve">Amarillo</t>
  </si>
  <si>
    <t xml:space="preserve">Condicionado por una brecha abierta con el cliente. Se puede disenar, pero no cerrar.</t>
  </si>
  <si>
    <t xml:space="preserve">Naranja</t>
  </si>
  <si>
    <t xml:space="preserve">Requisito nuevo derivado de la decision de SaaS multi-tenant. Todavia no se ha validado con el cliente.</t>
  </si>
  <si>
    <t xml:space="preserve">Advertencia</t>
  </si>
  <si>
    <t xml:space="preserve">Toda la evidencia de este catalogo proviene de una sola persona de una sola finca. El cliente descarto entrevistar a otras areas, y planeacion, que es donde nace la proyeccion, nunca se exploro. Bajo un modelo multi-tenant para varias empresas ese riesgo es mayor, no menor: se asume de forma explicita y queda registrado aqui.</t>
  </si>
  <si>
    <t xml:space="preserve">Resumen (calculado)</t>
  </si>
  <si>
    <t xml:space="preserve">Total de funcionalidades criticas</t>
  </si>
  <si>
    <t xml:space="preserve">Con impacto en el negocio (solo)</t>
  </si>
  <si>
    <t xml:space="preserve">Con reto tecnico (solo)</t>
  </si>
  <si>
    <t xml:space="preserve">Con ambas condiciones</t>
  </si>
  <si>
    <t xml:space="preserve">Que involucran un reto tecnico (total)</t>
  </si>
  <si>
    <t xml:space="preserve">Funcionalidades criticas para el negocio - FlorLogic</t>
  </si>
  <si>
    <t xml:space="preserve">Ordenadas por flujo del negocio: captura en campo, sincronizacion, motor de proyeccion, control, plataforma multi-tenant y auditoria. El color del identificador indica si hay una brecha abierta que condiciona el requisito.</t>
  </si>
  <si>
    <t xml:space="preserve">Identificador Requisito Funcional/Historia de Usuario/Caso de Uso</t>
  </si>
  <si>
    <t xml:space="preserve">Especificacion Requisito Funcional/Historia de Usuario/Caso de Uso</t>
  </si>
  <si>
    <t xml:space="preserve">RF-001</t>
  </si>
  <si>
    <t xml:space="preserve">El sistema debe permitir al supervisor de campo registrar la siembra de una cama (bloque, nave, cama, variedad, fecha y cantidad de esquejes) sin conexion a internet, y confirmarle en pantalla que el registro quedo guardado en el dispositivo.</t>
  </si>
  <si>
    <t xml:space="preserve">Impacto en el negocio y reto tecnico</t>
  </si>
  <si>
    <t xml:space="preserve">Lo importante aqui es que el dato nazca en el mismo punto donde ocurre el hecho. Hoy el supervisor llena formatos en papel una hora diaria, un practicante los digita cuatro horas semanales y el dato tarda ocho dias en llegar a planeacion. Toda la propuesta de valor de FlorLogic consiste en eliminar esos ocho dias de latencia: si la captura no ocurre en campo, no hay producto, solo un reporteador mas montado sobre datos viejos.</t>
  </si>
  <si>
    <t xml:space="preserve">Reto tecnico porque los invernaderos no tienen cobertura de red. Ya existe precedente dentro de la propia finca: el formato de monitoreo de plagas y enfermedades se llena en una app totalmente local que sincroniza al recuperar senal. Conviene estudiar esa app antes de disenar la solucion, porque valida la arquitectura offline-first ante el cliente sin necesidad de defenderla en teoria.</t>
  </si>
  <si>
    <t xml:space="preserve">RF-002</t>
  </si>
  <si>
    <t xml:space="preserve">El sistema debe permitir al supervisor de campo registrar el corte de una cama por variedad, grado y fecha sin conexion a internet, aceptando varios registros de corte para la misma cama en dias distintos de su ciclo.</t>
  </si>
  <si>
    <t xml:space="preserve">Impacto en el negocio</t>
  </si>
  <si>
    <t xml:space="preserve">El corte es el unico dato que confronta la proyeccion con la realidad. Sin el no se puede medir desviacion, y sin desviacion el sistema no puede demostrar que proyecta mejor que el metodo actual, que es exactamente lo que el cliente esta comprando. Ademas una cama corta durante unos siete dias: si el sistema obliga a un solo evento por cama, el dato queda falseado desde el origen y toda la analitica posterior hereda ese error.</t>
  </si>
  <si>
    <t xml:space="preserve">Condicionado por BR-11: sin el catalogo de grados y calidades de la finca no se sabe con que granularidad se registra el corte. Bajo el modelo multi-tenant el problema se agrava, porque cada finca define sus propios grados y el catalogo deja de ser un dato fijo para volverse parametrizable.</t>
  </si>
  <si>
    <t xml:space="preserve">RF-003</t>
  </si>
  <si>
    <t xml:space="preserve">El sistema debe sincronizar los registros capturados en el dispositivo con el repositorio central cuando haya conectividad, garantizando que ningun registro se pierda y que ninguno se aplique mas de una vez.</t>
  </si>
  <si>
    <t xml:space="preserve">El valor entero del producto depende de que el dato capturado en campo llegue completo al repositorio central. Un registro perdido subestima la produccion y hace que ventas comprometa flor que no existe; un registro duplicado la sobreestima y provoca lo contrario. El cliente ya pierde alrededor del ocho por ciento de sus ventas comprando a terceros o cancelando ordenes por trabajar con informacion mala: sincronizar mal reproduce ese mismo dano con otra causa.</t>
  </si>
  <si>
    <t xml:space="preserve">Es el mayor reto tecnico del proyecto y el requisito con el indice de criticidad mas alto del catalogo anterior (3,0). Exige envio idempotente y una regla de resolucion determinista. No se puede resolver con reintentos simples: un reintento sin idempotencia es precisamente lo que produce los duplicados.</t>
  </si>
  <si>
    <t xml:space="preserve">RF-004</t>
  </si>
  <si>
    <t xml:space="preserve">El sistema debe impedir el registro de un evento que sea imposible dentro del ciclo fenologico de la cama y explicar al usuario el motivo del rechazo, aun sin conexion a internet.</t>
  </si>
  <si>
    <t xml:space="preserve">El error se corrige mucho mas barato donde se comete. Hoy el dos por ciento de error de captura lo detecta un auditor varios dias despues y solo el ingeniero de sistemas puede corregirlo, con aprobacion del gerente o del ingeniero de produccion. Validar en el instante de la captura elimina la mayor parte de ese circuito, y la confiabilidad es el atributo de calidad numero uno tanto para el cliente como para el equipo.</t>
  </si>
  <si>
    <t xml:space="preserve">Reto tecnico porque debe funcionar sin conexion, lo que obliga a llevar las reglas del ciclo al dispositivo y a mantenerlas sincronizadas con la parametrizacion del servidor. Ejemplo dado por el cliente: no se puede registrar corte en una cama que se sembro hace una semana.</t>
  </si>
  <si>
    <t xml:space="preserve">RF-005</t>
  </si>
  <si>
    <t xml:space="preserve">El sistema debe rechazar todo dato de produccion que implique una cantidad de tallos superior a la cantidad de plantas sembradas en esa cama.</t>
  </si>
  <si>
    <t xml:space="preserve">Es la unica regla de validacion que el cliente entrego con un numero verificable, y funciona como red de seguridad del motor de proyeccion. Si el sistema publica un valor por encima de esa cota, el dato es evidentemente malo, y un solo numero absurdo visible para gerencia destruye la confianza en toda la herramienta. En un producto cuya venta se sostiene en la confiabilidad del dato, esa perdida de credibilidad es irreversible.</t>
  </si>
  <si>
    <t xml:space="preserve">Ejemplo textual del cliente: mil plantas al noventa por ciento dan novecientos tallos proyectados. Es de las funcionalidades mas baratas de implementar y de mayor retorno en credibilidad; conviene aplicarla tanto en el dispositivo como en el servidor.</t>
  </si>
  <si>
    <t xml:space="preserve">RF-006</t>
  </si>
  <si>
    <t xml:space="preserve">El sistema debe calcular los tallos proyectados de una cama a partir de su area, de la densidad de siembra definida para la variedad y del porcentaje de productividad esperada de esa variedad.</t>
  </si>
  <si>
    <t xml:space="preserve">Es el motor del producto. El sistema se vende como herramienta de proyeccion de produccion y ventas: si esta funcionalidad no existe, lo que queda es un formulario de captura. De este calculo sale el numero sobre el cual el gerente de ventas compromete pedidos con clientes reales, de modo que la calidad de esta cifra es la calidad del negocio del cliente.</t>
  </si>
  <si>
    <t xml:space="preserve">Condicionado por BR-23: nadie ha explicado de donde sale el porcentaje de productividad esperada por variedad. Es el hueco abierto mas grave del catalogo. Mientras no se resuelva, el porcentaje debe tratarse como valor parametrizable y no como constante.</t>
  </si>
  <si>
    <t xml:space="preserve">RF-007</t>
  </si>
  <si>
    <t xml:space="preserve">El sistema debe distribuir los tallos proyectados de una cama a lo largo de los dias que dura su corte, en lugar de asignarlos todos a una unica fecha.</t>
  </si>
  <si>
    <t xml:space="preserve">El gerente de produccion consume proyeccion diaria, pero la formula produce un total por cama y por ciclo. Sin repartir ese total sobre los aproximadamente siete dias que dura el corte, el sistema entrega un numero que ningun rol puede usar para operar. Es la diferencia entre un dato interesante y un dato accionable, y es lo que permite que ventas prometa flor para una fecha concreta en vez de para un mes.</t>
  </si>
  <si>
    <t xml:space="preserve">Condicionado por BR-23: la curva de reparto no existe hoy en la finca, nadie la ha medido. Alternativa razonable mientras llega el dato: una curva parametrizable por variedad con un reparto por defecto que el administrador pueda ajustar, y registrar explicitamente que ese reparto por defecto es una propuesta del equipo.</t>
  </si>
  <si>
    <t xml:space="preserve">RF-008</t>
  </si>
  <si>
    <t xml:space="preserve">El sistema debe regenerar la proyeccion con la informacion acumulada al menos una vez por semana y conservar la version anterior de cada proyeccion generada.</t>
  </si>
  <si>
    <t xml:space="preserve">Hoy la proyeccion se ajusta mensualmente y el cliente declaro de forma explicita que la quiere semanal. Es la unica brecha entre estado actual y estado deseado que el cliente puso en palabras propias, asi que es la funcionalidad mas facil de defender como valor entregado. Conservar la version anterior permite ademas demostrarle al cliente, con evidencia, que la proyeccion mejora con el tiempo.</t>
  </si>
  <si>
    <t xml:space="preserve">El versionado es lo que hace medible al propio proyecto: sin historico de proyecciones no hay forma de probar que la desviacion se redujo, y sin esa prueba un SaaS no tiene argumento de renovacion al final del primer ano.</t>
  </si>
  <si>
    <t xml:space="preserve">RF-009</t>
  </si>
  <si>
    <t xml:space="preserve">El sistema debe permitir registrar la erradicacion de una cama y descontar hacia adelante la produccion que quedaba proyectada para esa cama.</t>
  </si>
  <si>
    <t xml:space="preserve">Erradicar una cama ocurre con frecuencia semanal y borra de golpe produccion que ya esta comprometida con clientes. Si el sistema no descuenta hacia adelante en el momento del registro, sigue prometiendo flor que ya no existe, que es literalmente la causa del ocho por ciento de ventas que hoy se resuelve comprando a terceros o cancelando ordenes. Esta funcionalidad ataca directamente la perdida economica que el cliente si supo cuantificar.</t>
  </si>
  <si>
    <t xml:space="preserve">El ciclo de la cama vuelve a cero tras la erradicacion y el tiempo hasta la resiembra no tiene regla fija, depende de la necesidad. Por eso la fecha de resiembra tiene que ser un dato de entrada y nunca un valor calculado por el sistema.</t>
  </si>
  <si>
    <t xml:space="preserve">RF-010</t>
  </si>
  <si>
    <t xml:space="preserve">El sistema debe permitir registrar una baja de produccion, expresada en porcentaje o en tallos, y descontarla de la produccion estimada de la cama afectada.</t>
  </si>
  <si>
    <t xml:space="preserve">Es el mismo dano que la erradicacion pero parcial y mucho mas frecuente. El cliente quiere que se registre de un dia para otro; hoy tarda una semana en llegar al sistema. Cada dia de retraso es un dia en que el area de ventas trabaja con una cifra inflada y compromete flor que ya se perdio. Reducir esa latencia de siete dias a uno es un beneficio concreto y facil de comunicar en la propuesta comercial.</t>
  </si>
  <si>
    <t xml:space="preserve">El supervisor lo mide unas veces en porcentaje y otras en tallos, segun el caso. Ambas unidades tienen que aceptarse sin obligarlo a convertir en campo, porque obligarlo a convertir es exactamente el tipo de friccion que hace que la gente vuelva al papel.</t>
  </si>
  <si>
    <t xml:space="preserve">RF-011</t>
  </si>
  <si>
    <t xml:space="preserve">El sistema debe mostrar la desviacion entre el corte real y el corte proyectado por cama, variedad y periodo, senalando los casos que salen de la banda de tolerancia parametrizada.</t>
  </si>
  <si>
    <t xml:space="preserve">Es la funcionalidad que demuestra que el producto sirve. Sin ella no hay forma de saber si FlorLogic proyecta mejor que el metodo actual, y por lo tanto no hay argumento para renovar la suscripcion. En un modelo SaaS la metrica que prueba el valor entregado es lo que sostiene el ingreso recurrente: sin este tablero, cada renovacion se negocia a base de percepcion en vez de evidencia.</t>
  </si>
  <si>
    <t xml:space="preserve">Condicionado por BR-21: no se sabe a que nivel de agregacion se miden el menos seis por ciento actual ni el mas menos diez por ciento objetivo. Esa brecha define la metrica de exito del proyecto entero y debe cerrarse antes de fijar cualquier linea base.</t>
  </si>
  <si>
    <t xml:space="preserve">RF-012</t>
  </si>
  <si>
    <t xml:space="preserve">El sistema debe garantizar que ningun usuario pueda acceder, por ningun canal, a datos pertenecientes a una empresa distinta de aquella a la que pertenece su cuenta.</t>
  </si>
  <si>
    <t xml:space="preserve">Los clientes de FlorLogic son fincas que compiten entre si en el mismo mercado. Que una empresa alcance a ver produccion, costos o precios de otra no es un defecto de software: es el fin del producto y una demanda. En un SaaS multi-tenant el aislamiento es justamente la condicion que permite cobrarle a mas de un cliente sobre la misma infraestructura, de modo que este requisito no soporta una funcionalidad del negocio, soporta el modelo de negocio completo.</t>
  </si>
  <si>
    <t xml:space="preserve">Requisito nuevo, nacido de la decision de adoptar SaaS multi-tenant (12-ago-2026). No aparecia en el catalogo anterior porque aquel se escribio asumiendo una sola finca. Reto tecnico de decision temprana: base de datos por tenant, esquema por tenant o discriminador por fila. La eleccion es practicamente irreversible y condiciona costo, aislamiento y facilidad de respaldo.</t>
  </si>
  <si>
    <t xml:space="preserve">RF-013</t>
  </si>
  <si>
    <t xml:space="preserve">El sistema debe permitir al administrador de cada empresa parametrizar sus variedades, densidades de siembra, porcentajes de productividad esperada, grados de calidad, dias a corte por etapa, duracion del corte y bandas de tolerancia, sin intervencion del equipo de desarrollo.</t>
  </si>
  <si>
    <t xml:space="preserve">Cada finca define sus propias variedades, densidades y grados de calidad. Si esos valores viven en el codigo, cada cliente nuevo se convierte en un desarrollo a medida y el negocio de veinte empresas no cierra por costo. La parametrizacion es exactamente lo que transforma un proyecto hecho para una finca en un producto vendible a muchas, y por eso es la funcionalidad que habilita la escalabilidad comercial.</t>
  </si>
  <si>
    <t xml:space="preserve">Condicionado por BR-22: no se sabe si son nueve variedades activas o cerca de trescientas contando subvariedades, y esa diferencia cambia por completo el dimensionamiento de la interfaz de parametrizacion. Observacion de modelo: la jerarquia deja de empezar en Finca y pasa a empezar en Empresa, porque una empresa puede tener varias fincas.</t>
  </si>
  <si>
    <t xml:space="preserve">RF-014</t>
  </si>
  <si>
    <t xml:space="preserve">El sistema debe autenticar al usuario y aplicar los permisos de su rol en el dispositivo movil aun cuando no haya conexion a internet.</t>
  </si>
  <si>
    <t xml:space="preserve">El supervisor trabaja jornadas enteras sin cobertura. Si la aplicacion exige red para autenticar, el sistema resulta inutilizable justo en el lugar y el momento en que tiene que funcionar, y el usuario vuelve al papel el primer dia. La adopcion en campo es la condicion de la que dependen todas las demas funcionalidades del producto.</t>
  </si>
  <si>
    <t xml:space="preserve">Aqui chocan de frente disponibilidad y seguridad, y la decision no puede quedar implicita. BR-N5 sigue sin preguntarse al cliente: cuanto vale una sesion offline y que ocurre si se pierde un dispositivo que tiene registros sin sincronizar.</t>
  </si>
  <si>
    <t xml:space="preserve">RF-015</t>
  </si>
  <si>
    <t xml:space="preserve">El sistema debe impedir que los usuarios con rol de supervisor de campo accedan a informacion de precio de venta en cualquier pantalla, reporte o archivo exportado.</t>
  </si>
  <si>
    <t xml:space="preserve">Es la unica restriccion de visibilidad que el cliente pidio de forma expresa: dijo que la informacion esta muy compartida y que no hay restricciones, salvo el precio de venta frente a supervisores y auxiliares. Cumplirla es barato; incumplirla en un solo reporte exportado destruye la confianza del cliente en el control de acceso completo, incluida la parte que si funciona bien.</t>
  </si>
  <si>
    <t xml:space="preserve">Debe cumplirse en los tres canales: pantalla, reporte y exportacion a Excel o PDF. La exportacion es el canal que normalmente se olvida y es justamente el que el equipo eligio como mecanismo oficial para compartir informacion hacia afuera.</t>
  </si>
  <si>
    <t xml:space="preserve">RF-016</t>
  </si>
  <si>
    <t xml:space="preserve">El sistema debe conservar, para cada registro de siembra, corte, baja y erradicacion, la empresa, el autor, el dispositivo, la fecha y hora de captura, la fecha de sincronizacion y el valor anterior en caso de correccion.</t>
  </si>
  <si>
    <t xml:space="preserve">El cliente audita un dos por ciento de error y quiere llevarlo a cero, pero hoy ese dos por ciento no esta visualizado en ninguna parte. Sin saber quien capturo, con que dispositivo, cuando y que habia antes, no se puede identificar donde nace el error ni demostrarle al cliente que bajo. La trazabilidad es lo que convierte una queja difusa en una accion correctiva concreta, y es tambien lo que respalda al proveedor ante cualquier reclamo de un cliente.</t>
  </si>
  <si>
    <t xml:space="preserve">Bajo el modelo multi-tenant hay que anadir la empresa a cada registro de auditoria, no solo al dato de negocio. Este requisito es ademas la base tecnica sobre la que se apoyan RF-011 y RF-017.</t>
  </si>
  <si>
    <t xml:space="preserve">RF-017</t>
  </si>
  <si>
    <t xml:space="preserve">El sistema debe impedir que un registro ya sincronizado sea modificado o eliminado por un rol distinto del administrador de la empresa, y debe exigir que quede registrada la aprobacion que respalda la correccion.</t>
  </si>
  <si>
    <t xml:space="preserve">Un dato productivo que cualquiera pueda editar deja de ser evidencia y vuelve a ser opinion. El cliente ya opera con esa regla: solo el ingeniero de sistemas corrige, y siempre con aprobacion del gerente o del ingeniero de produccion. Replicar esa regla es lo que hace que el sistema sea aceptado como fuente unica de verdad en lugar de terminar conviviendo con las planillas de siempre.</t>
  </si>
  <si>
    <t xml:space="preserve">Bajo SaaS este permiso tiene que quedar en el administrador de la empresa cliente y no en el equipo FlorLogic. Si el proveedor corrige datos productivos de un cliente, el problema deja de ser tecnico y pasa a ser contractual y legal.</t>
  </si>
  <si>
    <t xml:space="preserve">RF-018</t>
  </si>
  <si>
    <t xml:space="preserve">El sistema debe presentar la produccion proyectada y la produccion real agregadas por dia, por semana y por mes, calculadas sobre el mismo conjunto de datos.</t>
  </si>
  <si>
    <t xml:space="preserve">Cada nivel de la empresa consume el mismo dato con distinta granularidad: gerencia general lo quiere mensual, el gerente de ventas semanal y el de produccion diario. Si el sistema no agrega sobre un unico conjunto de datos, cada area vuelve a fabricar su propia cifra en su propio Excel y reaparece exactamente la desconfianza que motivo el proyecto.</t>
  </si>
  <si>
    <t xml:space="preserve">El cliente enuncio esos tres niveles con esas tres audiencias. Es la condicion para que los tres roles compartan una sola version de la verdad, que es el argumento central de venta frente a los reportes semanales de PowerBI que hoy usan.</t>
  </si>
  <si>
    <t xml:space="preserve">RF-019</t>
  </si>
  <si>
    <t xml:space="preserve">El sistema debe permitir exportar a Excel y a PDF la informacion que el usuario tiene autorizado consultar, aplicando las mismas restricciones de rol que rigen en pantalla.</t>
  </si>
  <si>
    <t xml:space="preserve">El equipo decidio no crear un rol distinto por cada tablero y resolver la necesidad compartiendo informacion hacia afuera mediante archivos. Eso convierte a la exportacion en el mecanismo oficial para que gerentes, comerciales o terceros sin cuenta reciban informacion, y evita multiplicar roles y usuarios, que en un modelo SaaS por usuario es directamente costo para el cliente y friccion para la venta.</t>
  </si>
  <si>
    <t xml:space="preserve">Depende de RF-015: un archivo exportado por un supervisor no puede contener precio de venta bajo ninguna circunstancia. Este es el punto exacto donde suelen fallar los controles de acceso implementados solo en la capa de presentacion.</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</si>
</sst>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95959"/>
      <name val="Arial"/>
      <family val="0"/>
      <charset val="1"/>
    </font>
    <font>
      <b val="true"/>
      <sz val="10"/>
      <name val="Arial"/>
      <family val="0"/>
      <charset val="1"/>
    </font>
    <font>
      <sz val="10"/>
      <name val="Arial"/>
      <family val="0"/>
      <charset val="1"/>
    </font>
    <font>
      <b val="true"/>
      <sz val="12"/>
      <color rgb="FF1F4E5F"/>
      <name val="Arial"/>
      <family val="0"/>
      <charset val="1"/>
    </font>
    <font>
      <b val="true"/>
      <sz val="10"/>
      <color rgb="FF9C0006"/>
      <name val="Arial"/>
      <family val="0"/>
      <charset val="1"/>
    </font>
    <font>
      <sz val="10"/>
      <color rgb="FF9C0006"/>
      <name val="Arial"/>
      <family val="0"/>
      <charset val="1"/>
    </font>
    <font>
      <b val="true"/>
      <sz val="14"/>
      <color rgb="FF1F4E5F"/>
      <name val="Arial"/>
      <family val="0"/>
      <charset val="1"/>
    </font>
    <font>
      <i val="true"/>
      <sz val="9"/>
      <color rgb="FF595959"/>
      <name val="Arial"/>
      <family val="0"/>
      <charset val="1"/>
    </font>
    <font>
      <b val="true"/>
      <sz val="10"/>
      <color rgb="FFFFFFFF"/>
      <name val="Arial"/>
      <family val="0"/>
      <charset val="1"/>
    </font>
  </fonts>
  <fills count="8">
    <fill>
      <patternFill patternType="none"/>
    </fill>
    <fill>
      <patternFill patternType="gray125"/>
    </fill>
    <fill>
      <patternFill patternType="solid">
        <fgColor rgb="FFDDEBF7"/>
        <bgColor rgb="FFCCFFFF"/>
      </patternFill>
    </fill>
    <fill>
      <patternFill patternType="solid">
        <fgColor rgb="FFFFC7CE"/>
        <bgColor rgb="FFFFCC99"/>
      </patternFill>
    </fill>
    <fill>
      <patternFill patternType="solid">
        <fgColor rgb="FF1F4E5F"/>
        <bgColor rgb="FF333333"/>
      </patternFill>
    </fill>
    <fill>
      <patternFill patternType="solid">
        <fgColor rgb="FFC6EFCE"/>
        <bgColor rgb="FFDDEBF7"/>
      </patternFill>
    </fill>
    <fill>
      <patternFill patternType="solid">
        <fgColor rgb="FFFFEB9C"/>
        <bgColor rgb="FFFFFFCC"/>
      </patternFill>
    </fill>
    <fill>
      <patternFill patternType="solid">
        <fgColor rgb="FFFFCC99"/>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5F"/>
          <bgColor rgb="FF000000"/>
        </patternFill>
      </fill>
    </dxf>
    <dxf>
      <fill>
        <patternFill patternType="solid">
          <fgColor rgb="FFC6EFCE"/>
          <bgColor rgb="FF000000"/>
        </patternFill>
      </fill>
    </dxf>
    <dxf>
      <fill>
        <patternFill patternType="solid">
          <fgColor rgb="FFFFCC99"/>
          <bgColor rgb="FF000000"/>
        </patternFill>
      </fill>
    </dxf>
    <dxf>
      <fill>
        <patternFill patternType="solid">
          <fgColor rgb="FFFFEB9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8"/>
  </cols>
  <sheetData>
    <row r="1" customFormat="false" ht="19.7" hidden="false" customHeight="false" outlineLevel="0" collapsed="false">
      <c r="A1" s="1" t="s">
        <v>0</v>
      </c>
      <c r="B1" s="1"/>
    </row>
    <row r="2" customFormat="false" ht="15" hidden="false" customHeight="false" outlineLevel="0" collapsed="false">
      <c r="A2" s="2" t="s">
        <v>1</v>
      </c>
      <c r="B2" s="2"/>
    </row>
    <row r="4" customFormat="false" ht="49.5" hidden="false" customHeight="true" outlineLevel="0" collapsed="false">
      <c r="A4" s="3" t="s">
        <v>2</v>
      </c>
      <c r="B4" s="4" t="s">
        <v>3</v>
      </c>
    </row>
    <row r="5" customFormat="false" ht="49.5" hidden="false" customHeight="true" outlineLevel="0" collapsed="false">
      <c r="A5" s="3" t="s">
        <v>4</v>
      </c>
      <c r="B5" s="4" t="s">
        <v>5</v>
      </c>
    </row>
    <row r="6" customFormat="false" ht="49.5" hidden="false" customHeight="true" outlineLevel="0" collapsed="false">
      <c r="A6" s="3" t="s">
        <v>6</v>
      </c>
      <c r="B6" s="4" t="s">
        <v>7</v>
      </c>
    </row>
    <row r="8" customFormat="false" ht="21.75" hidden="false" customHeight="true" outlineLevel="0" collapsed="false">
      <c r="A8" s="5" t="s">
        <v>8</v>
      </c>
      <c r="B8" s="5"/>
    </row>
    <row r="9" customFormat="false" ht="49.5" hidden="false" customHeight="true" outlineLevel="0" collapsed="false">
      <c r="A9" s="3" t="s">
        <v>9</v>
      </c>
      <c r="B9" s="4" t="s">
        <v>10</v>
      </c>
    </row>
    <row r="10" customFormat="false" ht="49.5" hidden="false" customHeight="true" outlineLevel="0" collapsed="false">
      <c r="A10" s="3" t="s">
        <v>11</v>
      </c>
      <c r="B10" s="4" t="s">
        <v>12</v>
      </c>
    </row>
    <row r="11" customFormat="false" ht="49.5" hidden="false" customHeight="true" outlineLevel="0" collapsed="false">
      <c r="A11" s="3" t="s">
        <v>13</v>
      </c>
      <c r="B11" s="4" t="s">
        <v>14</v>
      </c>
    </row>
    <row r="12" customFormat="false" ht="49.5" hidden="false" customHeight="true" outlineLevel="0" collapsed="false">
      <c r="A12" s="3" t="s">
        <v>15</v>
      </c>
      <c r="B12" s="4" t="s">
        <v>16</v>
      </c>
    </row>
    <row r="13" customFormat="false" ht="49.5" hidden="false" customHeight="true" outlineLevel="0" collapsed="false">
      <c r="A13" s="3" t="s">
        <v>17</v>
      </c>
      <c r="B13" s="4" t="s">
        <v>18</v>
      </c>
    </row>
    <row r="15" customFormat="false" ht="21.75" hidden="false" customHeight="true" outlineLevel="0" collapsed="false">
      <c r="A15" s="5" t="s">
        <v>19</v>
      </c>
      <c r="B15" s="5"/>
    </row>
    <row r="16" customFormat="false" ht="49.5" hidden="false" customHeight="true" outlineLevel="0" collapsed="false">
      <c r="A16" s="3" t="s">
        <v>20</v>
      </c>
      <c r="B16" s="4" t="s">
        <v>21</v>
      </c>
    </row>
    <row r="17" customFormat="false" ht="49.5" hidden="false" customHeight="true" outlineLevel="0" collapsed="false">
      <c r="A17" s="3" t="s">
        <v>22</v>
      </c>
      <c r="B17" s="4" t="s">
        <v>23</v>
      </c>
    </row>
    <row r="18" customFormat="false" ht="49.5" hidden="false" customHeight="true" outlineLevel="0" collapsed="false">
      <c r="A18" s="3" t="s">
        <v>24</v>
      </c>
      <c r="B18" s="4" t="s">
        <v>25</v>
      </c>
    </row>
    <row r="20" customFormat="false" ht="72" hidden="false" customHeight="true" outlineLevel="0" collapsed="false">
      <c r="A20" s="6" t="s">
        <v>26</v>
      </c>
      <c r="B20" s="7" t="s">
        <v>27</v>
      </c>
    </row>
    <row r="22" customFormat="false" ht="21.75" hidden="false" customHeight="true" outlineLevel="0" collapsed="false">
      <c r="A22" s="8" t="s">
        <v>28</v>
      </c>
      <c r="B22" s="8"/>
    </row>
    <row r="23" customFormat="false" ht="18" hidden="false" customHeight="true" outlineLevel="0" collapsed="false">
      <c r="A23" s="9" t="s">
        <v>29</v>
      </c>
      <c r="B23" s="10" t="n">
        <f aca="false">COUNTA('Funcionalidades criticas'!$A$4:$A$22)</f>
        <v>19</v>
      </c>
    </row>
    <row r="24" customFormat="false" ht="18" hidden="false" customHeight="true" outlineLevel="0" collapsed="false">
      <c r="A24" s="9" t="s">
        <v>30</v>
      </c>
      <c r="B24" s="10" t="n">
        <f aca="false">COUNTIF('Funcionalidades criticas'!$C$4:$C$22,"Impacto en el negocio")</f>
        <v>12</v>
      </c>
    </row>
    <row r="25" customFormat="false" ht="18" hidden="false" customHeight="true" outlineLevel="0" collapsed="false">
      <c r="A25" s="9" t="s">
        <v>31</v>
      </c>
      <c r="B25" s="10" t="n">
        <f aca="false">COUNTIF('Funcionalidades criticas'!$C$4:$C$22,"Reto tecnico")</f>
        <v>0</v>
      </c>
    </row>
    <row r="26" customFormat="false" ht="18" hidden="false" customHeight="true" outlineLevel="0" collapsed="false">
      <c r="A26" s="9" t="s">
        <v>32</v>
      </c>
      <c r="B26" s="10" t="n">
        <f aca="false">COUNTIF('Funcionalidades criticas'!$C$4:$C$22,"Impacto en el negocio y reto tecnico")</f>
        <v>7</v>
      </c>
    </row>
    <row r="27" customFormat="false" ht="18" hidden="false" customHeight="true" outlineLevel="0" collapsed="false">
      <c r="A27" s="9" t="s">
        <v>33</v>
      </c>
      <c r="B27" s="10" t="n">
        <f aca="false">COUNTIF('Funcionalidades criticas'!$C$4:$C$22,"Reto tecnico")+COUNTIF('Funcionalidades criticas'!$C$4:$C$22,"Impacto en el negocio y reto tecnico")</f>
        <v>7</v>
      </c>
    </row>
  </sheetData>
  <mergeCells count="5">
    <mergeCell ref="A1:B1"/>
    <mergeCell ref="A2:B2"/>
    <mergeCell ref="A8:B8"/>
    <mergeCell ref="A15:B15"/>
    <mergeCell ref="A22: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60"/>
    <col collapsed="false" customWidth="true" hidden="false" outlineLevel="0" max="3" min="3" style="0" width="20"/>
    <col collapsed="false" customWidth="true" hidden="false" outlineLevel="0" max="4" min="4" style="0" width="72"/>
    <col collapsed="false" customWidth="true" hidden="false" outlineLevel="0" max="5" min="5" style="0" width="62"/>
  </cols>
  <sheetData>
    <row r="1" customFormat="false" ht="17.35" hidden="false" customHeight="false" outlineLevel="0" collapsed="false">
      <c r="A1" s="11" t="s">
        <v>34</v>
      </c>
      <c r="B1" s="11"/>
      <c r="C1" s="11"/>
      <c r="D1" s="11"/>
      <c r="E1" s="11"/>
    </row>
    <row r="2" customFormat="false" ht="25.5" hidden="false" customHeight="true" outlineLevel="0" collapsed="false">
      <c r="A2" s="12" t="s">
        <v>35</v>
      </c>
      <c r="B2" s="12"/>
      <c r="C2" s="12"/>
      <c r="D2" s="12"/>
      <c r="E2" s="12"/>
    </row>
    <row r="3" customFormat="false" ht="45.75" hidden="false" customHeight="true" outlineLevel="0" collapsed="false">
      <c r="A3" s="13" t="s">
        <v>36</v>
      </c>
      <c r="B3" s="13" t="s">
        <v>37</v>
      </c>
      <c r="C3" s="13" t="s">
        <v>13</v>
      </c>
      <c r="D3" s="13" t="s">
        <v>15</v>
      </c>
      <c r="E3" s="13" t="s">
        <v>17</v>
      </c>
    </row>
    <row r="4" customFormat="false" ht="132" hidden="false" customHeight="true" outlineLevel="0" collapsed="false">
      <c r="A4" s="14" t="s">
        <v>38</v>
      </c>
      <c r="B4" s="15" t="s">
        <v>39</v>
      </c>
      <c r="C4" s="16" t="s">
        <v>40</v>
      </c>
      <c r="D4" s="15" t="s">
        <v>41</v>
      </c>
      <c r="E4" s="15" t="s">
        <v>42</v>
      </c>
    </row>
    <row r="5" customFormat="false" ht="132" hidden="false" customHeight="true" outlineLevel="0" collapsed="false">
      <c r="A5" s="17" t="s">
        <v>43</v>
      </c>
      <c r="B5" s="15" t="s">
        <v>44</v>
      </c>
      <c r="C5" s="16" t="s">
        <v>45</v>
      </c>
      <c r="D5" s="15" t="s">
        <v>46</v>
      </c>
      <c r="E5" s="15" t="s">
        <v>47</v>
      </c>
    </row>
    <row r="6" customFormat="false" ht="132" hidden="false" customHeight="true" outlineLevel="0" collapsed="false">
      <c r="A6" s="14" t="s">
        <v>48</v>
      </c>
      <c r="B6" s="15" t="s">
        <v>49</v>
      </c>
      <c r="C6" s="16" t="s">
        <v>40</v>
      </c>
      <c r="D6" s="15" t="s">
        <v>50</v>
      </c>
      <c r="E6" s="15" t="s">
        <v>51</v>
      </c>
    </row>
    <row r="7" customFormat="false" ht="132" hidden="false" customHeight="true" outlineLevel="0" collapsed="false">
      <c r="A7" s="14" t="s">
        <v>52</v>
      </c>
      <c r="B7" s="15" t="s">
        <v>53</v>
      </c>
      <c r="C7" s="16" t="s">
        <v>40</v>
      </c>
      <c r="D7" s="15" t="s">
        <v>54</v>
      </c>
      <c r="E7" s="15" t="s">
        <v>55</v>
      </c>
    </row>
    <row r="8" customFormat="false" ht="132" hidden="false" customHeight="true" outlineLevel="0" collapsed="false">
      <c r="A8" s="14" t="s">
        <v>56</v>
      </c>
      <c r="B8" s="15" t="s">
        <v>57</v>
      </c>
      <c r="C8" s="16" t="s">
        <v>45</v>
      </c>
      <c r="D8" s="15" t="s">
        <v>58</v>
      </c>
      <c r="E8" s="15" t="s">
        <v>59</v>
      </c>
    </row>
    <row r="9" customFormat="false" ht="132" hidden="false" customHeight="true" outlineLevel="0" collapsed="false">
      <c r="A9" s="17" t="s">
        <v>60</v>
      </c>
      <c r="B9" s="15" t="s">
        <v>61</v>
      </c>
      <c r="C9" s="16" t="s">
        <v>45</v>
      </c>
      <c r="D9" s="15" t="s">
        <v>62</v>
      </c>
      <c r="E9" s="15" t="s">
        <v>63</v>
      </c>
    </row>
    <row r="10" customFormat="false" ht="132" hidden="false" customHeight="true" outlineLevel="0" collapsed="false">
      <c r="A10" s="17" t="s">
        <v>64</v>
      </c>
      <c r="B10" s="15" t="s">
        <v>65</v>
      </c>
      <c r="C10" s="16" t="s">
        <v>40</v>
      </c>
      <c r="D10" s="15" t="s">
        <v>66</v>
      </c>
      <c r="E10" s="15" t="s">
        <v>67</v>
      </c>
    </row>
    <row r="11" customFormat="false" ht="132" hidden="false" customHeight="true" outlineLevel="0" collapsed="false">
      <c r="A11" s="14" t="s">
        <v>68</v>
      </c>
      <c r="B11" s="15" t="s">
        <v>69</v>
      </c>
      <c r="C11" s="16" t="s">
        <v>45</v>
      </c>
      <c r="D11" s="15" t="s">
        <v>70</v>
      </c>
      <c r="E11" s="15" t="s">
        <v>71</v>
      </c>
    </row>
    <row r="12" customFormat="false" ht="132" hidden="false" customHeight="true" outlineLevel="0" collapsed="false">
      <c r="A12" s="14" t="s">
        <v>72</v>
      </c>
      <c r="B12" s="15" t="s">
        <v>73</v>
      </c>
      <c r="C12" s="16" t="s">
        <v>45</v>
      </c>
      <c r="D12" s="15" t="s">
        <v>74</v>
      </c>
      <c r="E12" s="15" t="s">
        <v>75</v>
      </c>
    </row>
    <row r="13" customFormat="false" ht="132" hidden="false" customHeight="true" outlineLevel="0" collapsed="false">
      <c r="A13" s="14" t="s">
        <v>76</v>
      </c>
      <c r="B13" s="15" t="s">
        <v>77</v>
      </c>
      <c r="C13" s="16" t="s">
        <v>45</v>
      </c>
      <c r="D13" s="15" t="s">
        <v>78</v>
      </c>
      <c r="E13" s="15" t="s">
        <v>79</v>
      </c>
    </row>
    <row r="14" customFormat="false" ht="132" hidden="false" customHeight="true" outlineLevel="0" collapsed="false">
      <c r="A14" s="17" t="s">
        <v>80</v>
      </c>
      <c r="B14" s="15" t="s">
        <v>81</v>
      </c>
      <c r="C14" s="16" t="s">
        <v>45</v>
      </c>
      <c r="D14" s="15" t="s">
        <v>82</v>
      </c>
      <c r="E14" s="15" t="s">
        <v>83</v>
      </c>
    </row>
    <row r="15" customFormat="false" ht="132" hidden="false" customHeight="true" outlineLevel="0" collapsed="false">
      <c r="A15" s="18" t="s">
        <v>84</v>
      </c>
      <c r="B15" s="15" t="s">
        <v>85</v>
      </c>
      <c r="C15" s="16" t="s">
        <v>40</v>
      </c>
      <c r="D15" s="15" t="s">
        <v>86</v>
      </c>
      <c r="E15" s="15" t="s">
        <v>87</v>
      </c>
    </row>
    <row r="16" customFormat="false" ht="132" hidden="false" customHeight="true" outlineLevel="0" collapsed="false">
      <c r="A16" s="17" t="s">
        <v>88</v>
      </c>
      <c r="B16" s="15" t="s">
        <v>89</v>
      </c>
      <c r="C16" s="16" t="s">
        <v>40</v>
      </c>
      <c r="D16" s="15" t="s">
        <v>90</v>
      </c>
      <c r="E16" s="15" t="s">
        <v>91</v>
      </c>
    </row>
    <row r="17" customFormat="false" ht="132" hidden="false" customHeight="true" outlineLevel="0" collapsed="false">
      <c r="A17" s="17" t="s">
        <v>92</v>
      </c>
      <c r="B17" s="15" t="s">
        <v>93</v>
      </c>
      <c r="C17" s="16" t="s">
        <v>40</v>
      </c>
      <c r="D17" s="15" t="s">
        <v>94</v>
      </c>
      <c r="E17" s="15" t="s">
        <v>95</v>
      </c>
    </row>
    <row r="18" customFormat="false" ht="132" hidden="false" customHeight="true" outlineLevel="0" collapsed="false">
      <c r="A18" s="14" t="s">
        <v>96</v>
      </c>
      <c r="B18" s="15" t="s">
        <v>97</v>
      </c>
      <c r="C18" s="16" t="s">
        <v>45</v>
      </c>
      <c r="D18" s="15" t="s">
        <v>98</v>
      </c>
      <c r="E18" s="15" t="s">
        <v>99</v>
      </c>
    </row>
    <row r="19" customFormat="false" ht="132" hidden="false" customHeight="true" outlineLevel="0" collapsed="false">
      <c r="A19" s="14" t="s">
        <v>100</v>
      </c>
      <c r="B19" s="15" t="s">
        <v>101</v>
      </c>
      <c r="C19" s="16" t="s">
        <v>45</v>
      </c>
      <c r="D19" s="15" t="s">
        <v>102</v>
      </c>
      <c r="E19" s="15" t="s">
        <v>103</v>
      </c>
    </row>
    <row r="20" customFormat="false" ht="132" hidden="false" customHeight="true" outlineLevel="0" collapsed="false">
      <c r="A20" s="18" t="s">
        <v>104</v>
      </c>
      <c r="B20" s="15" t="s">
        <v>105</v>
      </c>
      <c r="C20" s="16" t="s">
        <v>45</v>
      </c>
      <c r="D20" s="15" t="s">
        <v>106</v>
      </c>
      <c r="E20" s="15" t="s">
        <v>107</v>
      </c>
    </row>
    <row r="21" customFormat="false" ht="132" hidden="false" customHeight="true" outlineLevel="0" collapsed="false">
      <c r="A21" s="14" t="s">
        <v>108</v>
      </c>
      <c r="B21" s="15" t="s">
        <v>109</v>
      </c>
      <c r="C21" s="16" t="s">
        <v>45</v>
      </c>
      <c r="D21" s="15" t="s">
        <v>110</v>
      </c>
      <c r="E21" s="15" t="s">
        <v>111</v>
      </c>
    </row>
    <row r="22" customFormat="false" ht="132" hidden="false" customHeight="true" outlineLevel="0" collapsed="false">
      <c r="A22" s="14" t="s">
        <v>112</v>
      </c>
      <c r="B22" s="15" t="s">
        <v>113</v>
      </c>
      <c r="C22" s="16" t="s">
        <v>45</v>
      </c>
      <c r="D22" s="15" t="s">
        <v>114</v>
      </c>
      <c r="E22" s="15" t="s">
        <v>115</v>
      </c>
    </row>
  </sheetData>
  <autoFilter ref="A3:E22"/>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2026-08-13T00:23:21Z</dcterms:created>
  <dc:creator>openpyxl</dc:creator>
  <dc:description/>
  <dc:language>en-US</dc:language>
  <cp:lastModifiedBy/>
  <dcterms:modified xsi:type="dcterms:W3CDTF">2026-08-13T00:23:21Z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