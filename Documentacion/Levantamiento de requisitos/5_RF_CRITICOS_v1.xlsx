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conet-my.sharepoint.com/personal/juan_avendano1956_uco_net_co/Documents/FlorLogic/Documentacion/Levantamiento de requisitos/"/>
    </mc:Choice>
  </mc:AlternateContent>
  <xr:revisionPtr revIDLastSave="0" documentId="11_9A63C248B0B555B6DD3576E976097BE23478021D" xr6:coauthVersionLast="47" xr6:coauthVersionMax="47" xr10:uidLastSave="{00000000-0000-0000-0000-000000000000}"/>
  <bookViews>
    <workbookView xWindow="-28920" yWindow="-120" windowWidth="29040" windowHeight="15720" activeTab="1" xr2:uid="{00000000-000D-0000-FFFF-FFFF00000000}"/>
  </bookViews>
  <sheets>
    <sheet name="Como leer" sheetId="1" r:id="rId1"/>
    <sheet name="RF Criticos" sheetId="2" r:id="rId2"/>
    <sheet name="Trazabilidad" sheetId="3" r:id="rId3"/>
    <sheet name="Criticidad" sheetId="4" r:id="rId4"/>
    <sheet name="Mapa de calidad" sheetId="5" r:id="rId5"/>
    <sheet name="Escenarios - esqueleto" sheetId="6" r:id="rId6"/>
    <sheet name="Brechas que bloquean" sheetId="7" r:id="rId7"/>
  </sheets>
  <definedNames>
    <definedName name="_xlnm._FilterDatabase" localSheetId="3" hidden="1">Criticidad!$A$4:$J$24</definedName>
    <definedName name="_xlnm._FilterDatabase" localSheetId="4" hidden="1">'Mapa de calidad'!$A$4:$F$24</definedName>
    <definedName name="_xlnm._FilterDatabase" localSheetId="1" hidden="1">'RF Criticos'!$A$4:$J$24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5" l="1"/>
  <c r="D41" i="5"/>
  <c r="D40" i="5"/>
  <c r="D39" i="5"/>
  <c r="D38" i="5"/>
  <c r="D37" i="5"/>
  <c r="D36" i="5"/>
  <c r="D35" i="5"/>
  <c r="D34" i="5"/>
  <c r="D33" i="5"/>
  <c r="D32" i="5"/>
  <c r="D31" i="5"/>
  <c r="D30" i="5"/>
  <c r="D29" i="5"/>
  <c r="C30" i="4"/>
  <c r="C27" i="4"/>
  <c r="I24" i="4"/>
  <c r="J24" i="4" s="1"/>
  <c r="I23" i="4"/>
  <c r="J23" i="4" s="1"/>
  <c r="I22" i="4"/>
  <c r="J22" i="4" s="1"/>
  <c r="I21" i="4"/>
  <c r="I21" i="2" s="1"/>
  <c r="I20" i="4"/>
  <c r="C20" i="5" s="1"/>
  <c r="I19" i="4"/>
  <c r="J19" i="4" s="1"/>
  <c r="I18" i="4"/>
  <c r="C18" i="5" s="1"/>
  <c r="I17" i="4"/>
  <c r="C17" i="5" s="1"/>
  <c r="I16" i="4"/>
  <c r="C16" i="5" s="1"/>
  <c r="I15" i="4"/>
  <c r="I15" i="2" s="1"/>
  <c r="I14" i="4"/>
  <c r="J14" i="4" s="1"/>
  <c r="I13" i="4"/>
  <c r="J13" i="4" s="1"/>
  <c r="I12" i="4"/>
  <c r="J12" i="4" s="1"/>
  <c r="I11" i="4"/>
  <c r="I11" i="2" s="1"/>
  <c r="I10" i="4"/>
  <c r="C10" i="5" s="1"/>
  <c r="I9" i="4"/>
  <c r="J9" i="4" s="1"/>
  <c r="I8" i="4"/>
  <c r="C8" i="5" s="1"/>
  <c r="I7" i="4"/>
  <c r="C7" i="5" s="1"/>
  <c r="I6" i="4"/>
  <c r="C6" i="5" s="1"/>
  <c r="I5" i="4"/>
  <c r="I5" i="2" s="1"/>
  <c r="I3" i="4"/>
  <c r="I24" i="2"/>
  <c r="I22" i="2"/>
  <c r="I20" i="2"/>
  <c r="I18" i="2"/>
  <c r="I14" i="2"/>
  <c r="I12" i="2"/>
  <c r="I10" i="2"/>
  <c r="I8" i="2"/>
  <c r="I6" i="2" l="1"/>
  <c r="C9" i="5"/>
  <c r="C19" i="5"/>
  <c r="I16" i="2"/>
  <c r="I7" i="2"/>
  <c r="I17" i="2"/>
  <c r="J5" i="4"/>
  <c r="J10" i="4"/>
  <c r="J15" i="4"/>
  <c r="J20" i="4"/>
  <c r="C11" i="5"/>
  <c r="C21" i="5"/>
  <c r="I9" i="2"/>
  <c r="I19" i="2"/>
  <c r="J6" i="4"/>
  <c r="J11" i="4"/>
  <c r="J16" i="4"/>
  <c r="J21" i="4"/>
  <c r="C12" i="5"/>
  <c r="C22" i="5"/>
  <c r="C31" i="4"/>
  <c r="C13" i="5"/>
  <c r="C23" i="5"/>
  <c r="J7" i="4"/>
  <c r="J17" i="4"/>
  <c r="C32" i="4"/>
  <c r="C14" i="5"/>
  <c r="C24" i="5"/>
  <c r="C5" i="5"/>
  <c r="C15" i="5"/>
  <c r="I13" i="2"/>
  <c r="I23" i="2"/>
  <c r="J8" i="4"/>
  <c r="J18" i="4"/>
  <c r="C29" i="4" l="1"/>
  <c r="C28" i="4"/>
</calcChain>
</file>

<file path=xl/sharedStrings.xml><?xml version="1.0" encoding="utf-8"?>
<sst xmlns="http://schemas.openxmlformats.org/spreadsheetml/2006/main" count="759" uniqueCount="456">
  <si>
    <t>FlorLogic - Requisitos funcionales criticos, v1</t>
  </si>
  <si>
    <t>Entrega parcial y deliberadamente incompleta. Solo cubre funcionalidades criticas, para poder derivar atributos de calidad y escenarios. 8 de agosto de 2026.</t>
  </si>
  <si>
    <t>Que es esto</t>
  </si>
  <si>
    <t>Un primer corte del catalogo de requisitos funcionales, limitado a lo critico. No es el catalogo completo ni pretende serlo: es el subconjunto que basta para empezar a plantear atributos de calidad y escenarios de calidad.</t>
  </si>
  <si>
    <t>Que NO es esto</t>
  </si>
  <si>
    <t>No cubre reportes secundarios, exportaciones, gestion de usuarios rutinaria, ni nada fuera del alcance de fase 1 (cruce con pedidos y clientes, Florverde, personal e insumos, actividades culturales obligatorias).</t>
  </si>
  <si>
    <t>Criterio de criticidad</t>
  </si>
  <si>
    <t>Cuatro ejes, cada uno de 0 a 3: (1) sin esto no hay producto, (2) riesgo arquitectonico, (3) impacto de negocio, (4) riesgo de fallo. La hoja 'Criticidad' calcula el indice ponderado con pesos editables.</t>
  </si>
  <si>
    <t>Convenciones</t>
  </si>
  <si>
    <t>Un requisito = una capacidad. Verbo observable (registrar, calcular, mostrar, impedir, sincronizar). Sin solucion tecnica en el enunciado. Criterio de aceptacion en Dado/Cuando/Entonces. Prioridad MoSCoW.</t>
  </si>
  <si>
    <t>Codigo de color</t>
  </si>
  <si>
    <t>Verde: confirmado por el cliente en sesion. Amarillo: parcial o inferido, falta confirmar. Naranja: apoyado en una brecha abierta que puede invalidarlo.</t>
  </si>
  <si>
    <t>De donde sale</t>
  </si>
  <si>
    <t>Sesion 1 (27-jul-2026), sesion 2 (4-ago-2026) y el documento de contexto v2.0. Las citas son del Director de Produccion salvo indicacion contraria.</t>
  </si>
  <si>
    <t>Advertencia de una sola fuente</t>
  </si>
  <si>
    <t>Todo descansa en un unico entrevistado. Planeacion, que es donde nace la proyeccion, nunca se exploro. Es un riesgo aceptado, no resuelto.</t>
  </si>
  <si>
    <t>Siguiente paso</t>
  </si>
  <si>
    <t>Con los RF de indice mas alto, escribir los escenarios de calidad en formato fuente / estimulo / artefacto / entorno / respuesta / medida de respuesta. La hoja 'Mapa de calidad' deja preparado el insumo.</t>
  </si>
  <si>
    <t>Catalogo de requisitos funcionales criticos</t>
  </si>
  <si>
    <t>Ordenado por modulo. El indice de criticidad se calcula en la hoja 'Criticidad'.</t>
  </si>
  <si>
    <t>ID</t>
  </si>
  <si>
    <t>Modulo</t>
  </si>
  <si>
    <t>Requisito</t>
  </si>
  <si>
    <t>Actor / Rol</t>
  </si>
  <si>
    <t>Regla de negocio asociada</t>
  </si>
  <si>
    <t>Criterio de aceptacion (Dado / Cuando / Entonces)</t>
  </si>
  <si>
    <t>Origen</t>
  </si>
  <si>
    <t>Prio. MoSCoW</t>
  </si>
  <si>
    <t>Indice criticidad</t>
  </si>
  <si>
    <t>Estado</t>
  </si>
  <si>
    <t>RF-C01</t>
  </si>
  <si>
    <t>Captura en campo</t>
  </si>
  <si>
    <t>El sistema debe permitir registrar la siembra de una cama (bloque, nave, cama, variedad, fecha, cantidad de esquejes) sin conexion a internet, y confirmar al usuario que el registro quedo guardado.</t>
  </si>
  <si>
    <t>Supervisor de campo</t>
  </si>
  <si>
    <t>RN-01: la captura en campo no puede depender de conectividad. El registro se persiste en el dispositivo y se sincroniza despues.</t>
  </si>
  <si>
    <t>Dado un dispositivo sin conexion de datos, cuando el supervisor completa el registro de siembra de una cama, entonces el sistema lo persiste localmente, lo marca como 'pendiente de sincronizar' y muestra confirmacion visible sin requerir red.</t>
  </si>
  <si>
    <t>S2 - Director de Produccion</t>
  </si>
  <si>
    <t>Must</t>
  </si>
  <si>
    <t>Confirmado</t>
  </si>
  <si>
    <t>RF-C02</t>
  </si>
  <si>
    <t>El sistema debe permitir registrar el corte (produccion) de una cama por variedad, grado y fecha, sin conexion a internet.</t>
  </si>
  <si>
    <t>RN-02: el corte de una cama se registra por dia; una cama corta durante ~7 dias, no en un solo evento.</t>
  </si>
  <si>
    <t>Dado un dispositivo sin conexion, cuando el supervisor registra el corte de una cama para una fecha, entonces el sistema acepta multiples registros de corte para la misma cama en dias distintos del ciclo y los conserva por separado.</t>
  </si>
  <si>
    <t>S1 y S2 - Director de Produccion</t>
  </si>
  <si>
    <t>RF-C03</t>
  </si>
  <si>
    <t>Sincronizacion</t>
  </si>
  <si>
    <t>El sistema debe sincronizar los registros capturados en el dispositivo con el repositorio central cuando haya conectividad, sin perder registros y sin duplicarlos.</t>
  </si>
  <si>
    <t>Sistema / Supervisor de campo</t>
  </si>
  <si>
    <t>RN-03: cada registro capturado se entrega al repositorio central exactamente una vez. Un registro no confirmado permanece pendiente en el dispositivo.</t>
  </si>
  <si>
    <t>Dado un dispositivo con N registros pendientes, cuando recupera conectividad, entonces el sistema sube los N registros, deja el contador de pendientes en cero y, si alguno falla, lo mantiene pendiente y lo lista de forma explicita al usuario.</t>
  </si>
  <si>
    <t>S2 - Director de Produccion / decision de arquitectura</t>
  </si>
  <si>
    <t>RF-C04</t>
  </si>
  <si>
    <t>El sistema debe detectar cuando dos registros distintos afectan la misma cama en la misma fecha y presentar el conflicto para resolucion humana, sin sobrescribir ninguno de forma automatica.</t>
  </si>
  <si>
    <t>Administrador de produccion y ventas</t>
  </si>
  <si>
    <t>RN-04: ante dos registros en conflicto, ninguno se descarta automaticamente. Prevalece la decision de un usuario con rol administrador.</t>
  </si>
  <si>
    <t>Dado dos registros de corte para la misma cama y fecha provenientes de dispositivos distintos, cuando ambos se sincronizan, entonces el sistema conserva los dos, marca la cama en estado 'conflicto' y no la incluye en el calculo de proyeccion hasta que un administrador resuelva.</t>
  </si>
  <si>
    <t>Inferido de S2 - pendiente de validar con el cliente</t>
  </si>
  <si>
    <t>Should</t>
  </si>
  <si>
    <t>Inferido</t>
  </si>
  <si>
    <t>RF-C05</t>
  </si>
  <si>
    <t>Validacion</t>
  </si>
  <si>
    <t>El sistema debe impedir el registro de un evento que sea imposible dentro del ciclo fenologico de la cama, y explicar al usuario por que lo rechaza, aun sin conexion.</t>
  </si>
  <si>
    <t>RN-05: entre siembra y primer corte deben transcurrir al menos los dias a corte minimos de la variedad, menos el margen de corrimiento admitido (hasta 15 dias de adelanto).</t>
  </si>
  <si>
    <t>Dado una cama sembrada hace 7 dias con una variedad cuyo ciclo minimo es 90 dias, cuando el supervisor intenta registrar un corte, entonces el sistema rechaza el registro sin conexion y muestra el motivo y el rango de fechas valido.</t>
  </si>
  <si>
    <t>RF-C06</t>
  </si>
  <si>
    <t>El sistema debe rechazar todo dato de produccion que implique una productividad superior al 100% de las plantas sembradas en la cama.</t>
  </si>
  <si>
    <t>Sistema</t>
  </si>
  <si>
    <t>RN-06: tallos registrados o proyectados por cama &lt;= plantas sembradas en esa cama. Sin excepcion declarada.</t>
  </si>
  <si>
    <t>Dado una cama con 1.000 plantas sembradas, cuando se intenta registrar o calcular una produccion de 1.001 tallos o mas, entonces el sistema rechaza el valor e identifica el registro como dato erroneo.</t>
  </si>
  <si>
    <t>RF-C07</t>
  </si>
  <si>
    <t>Motor de proyeccion</t>
  </si>
  <si>
    <t>El sistema debe calcular los tallos proyectados de una cama a partir de su area, la densidad de siembra de la variedad y el porcentaje de productividad esperada de esa variedad.</t>
  </si>
  <si>
    <t>RN-07: plantas_sembradas = area_cama_m2 x densidad_siembra(variedad); tallos_proyectados = plantas_sembradas x %productividad_esperada(variedad), con %productividad entre 80% y 100%.</t>
  </si>
  <si>
    <t>Dado una cama de area conocida con variedad parametrizada, cuando se solicita la proyeccion, entonces el sistema devuelve tallos proyectados = area x densidad x %productividad, muestra los tres factores usados y nunca un valor mayor a las plantas sembradas.</t>
  </si>
  <si>
    <t>RF-C08</t>
  </si>
  <si>
    <t>El sistema debe distribuir los tallos proyectados de una cama a lo largo de los dias que dura su corte, en vez de asignarlos todos a una sola fecha.</t>
  </si>
  <si>
    <t>RN-08: la produccion de una cama se reparte sobre la duracion de corte de su variedad segun una curva de distribucion parametrizable.</t>
  </si>
  <si>
    <t>Dado una cama con 900 tallos proyectados y una variedad con 7 dias de corte, cuando se consulta la proyeccion diaria, entonces el sistema entrega un valor por cada uno de los 7 dias cuya suma es 900.</t>
  </si>
  <si>
    <t>RF-C09</t>
  </si>
  <si>
    <t>Erradicaciones y bajas</t>
  </si>
  <si>
    <t>El sistema debe permitir registrar la erradicacion de una cama y descontar hacia adelante la produccion que quedaba proyectada para esa cama.</t>
  </si>
  <si>
    <t>RN-09: al erradicar una cama, el ciclo vuelve a cero y la produccion proyectada pendiente de esa cama se resta del total. La fecha de resiembra no es fija.</t>
  </si>
  <si>
    <t>Dado una cama con 900 tallos proyectados y ninguno cortado, cuando se registra su erradicacion, entonces la proyeccion agregada de la finca disminuye en 900 tallos a partir de la fecha de erradicacion y la cama queda en estado 'sin ciclo activo'.</t>
  </si>
  <si>
    <t>RF-C10</t>
  </si>
  <si>
    <t>El sistema debe permitir registrar una baja de produccion, expresada en porcentaje o en tallos, y descontarla de la produccion estimada de la cama afectada.</t>
  </si>
  <si>
    <t>Supervisor de campo / Administrador de produccion y ventas</t>
  </si>
  <si>
    <t>RN-10: la baja se expresa en porcentaje o en tallos sobre la produccion estimada de una cama y una fecha. Se registra por formato en campo.</t>
  </si>
  <si>
    <t>Dado una cama con 900 tallos estimados, cuando se registra una baja del 10%, entonces la produccion estimada de esa cama pasa a 810 tallos y el sistema conserva el valor original, el porcentaje aplicado y el motivo.</t>
  </si>
  <si>
    <t>RF-C11</t>
  </si>
  <si>
    <t>El sistema debe regenerar la proyeccion con la informacion acumulada al menos una vez por semana y conservar la version anterior de cada proyeccion generada.</t>
  </si>
  <si>
    <t>RN-11: la proyeccion se recalcula semanalmente como minimo, y bajo demanda cuando ocurre una erradicacion o una baja relevante. Cada version queda fechada e identificable.</t>
  </si>
  <si>
    <t>Dado un cierre de semana, cuando el sistema regenera la proyeccion, entonces publica una version nueva fechada y mantiene consultable la version inmediatamente anterior para comparacion.</t>
  </si>
  <si>
    <t>RF-C12</t>
  </si>
  <si>
    <t>Control de exactitud</t>
  </si>
  <si>
    <t>El sistema debe mostrar la desviacion entre el corte real y el corte proyectado, por cama, variedad y periodo, senalando los casos que salen de la banda de tolerancia parametrizada.</t>
  </si>
  <si>
    <t>RN-12: banda de aceptacion +/-10% sobre lo proyectado, parametrizable. El objetivo declarado es reducir la brecha, no solo mantenerse dentro de la banda.</t>
  </si>
  <si>
    <t>Dado una cama con 900 tallos proyectados y 850 cortados, cuando se consulta el control de exactitud, entonces el sistema muestra una desviacion de -5,6% y la clasifica dentro de la banda; con 780 tallos la clasifica fuera de banda.</t>
  </si>
  <si>
    <t>RF-C13</t>
  </si>
  <si>
    <t>Parametrizacion</t>
  </si>
  <si>
    <t>El sistema debe permitir al administrador del sistema parametrizar densidad de siembra, porcentaje de productividad esperada, dias a corte por etapa, duracion del corte y bandas de tolerancia, por variedad, sin intervencion de desarrollo.</t>
  </si>
  <si>
    <t>Administrador del sistema</t>
  </si>
  <si>
    <t>RN-13: los parametros del motor son datos, no codigo. Cambiarlos no debe requerir un despliegue ni intervencion tecnica externa.</t>
  </si>
  <si>
    <t>Dado un usuario con rol Administrador del sistema, cuando modifica la densidad de siembra de una variedad de 90 a 60 plantas/m2, entonces las proyecciones generadas a partir de ese momento usan el valor nuevo y las anteriores conservan el valor con el que fueron calculadas.</t>
  </si>
  <si>
    <t>RF-C14</t>
  </si>
  <si>
    <t>Consulta y reportes</t>
  </si>
  <si>
    <t>El sistema debe presentar la produccion proyectada agregada por dia, semana y mes, sobre el mismo conjunto de datos.</t>
  </si>
  <si>
    <t>RN-14: la unidad de tiempo base del sistema es el dia. Semana y mes son agregaciones derivadas y deben conciliar con el diario.</t>
  </si>
  <si>
    <t>Dado un periodo de un mes con proyeccion diaria cargada, cuando se consulta la vista mensual y la suma de las vistas semanales del mismo periodo, entonces ambos totales coinciden con la suma de los valores diarios.</t>
  </si>
  <si>
    <t>RF-C15</t>
  </si>
  <si>
    <t>Seguridad y roles</t>
  </si>
  <si>
    <t>El sistema debe impedir que los usuarios con rol Supervisor de campo accedan a informacion de precio de venta, en cualquier pantalla, reporte o exportacion.</t>
  </si>
  <si>
    <t>RN-15: precio de venta es el unico dato restringido por rol. El costo de produccion si es visible para supervisores.</t>
  </si>
  <si>
    <t>Dado un usuario autenticado con rol Supervisor de campo, cuando consulta cualquier vista, reporte o exportacion que contenga informacion comercial, entonces el precio de venta no aparece ni es recuperable, incluso si el reporte lo incluye para otros roles.</t>
  </si>
  <si>
    <t>RF-C16</t>
  </si>
  <si>
    <t>El sistema debe autenticar al usuario y aplicar los permisos de su rol en el dispositivo movil aun cuando no haya conexion.</t>
  </si>
  <si>
    <t>RN-16: la sesion de un usuario en campo sigue siendo valida sin conectividad durante una ventana definida, tras la cual el dispositivo exige reautenticacion.</t>
  </si>
  <si>
    <t>Dado un supervisor que se autentico con conexion, cuando pierde la conectividad durante la jornada, entonces puede seguir capturando con los permisos de su rol y el sistema conserva la identidad del autor en cada registro.</t>
  </si>
  <si>
    <t>Inferido de S2 - decision de arquitectura pendiente de validar</t>
  </si>
  <si>
    <t>RF-C17</t>
  </si>
  <si>
    <t>Correccion y auditoria</t>
  </si>
  <si>
    <t>El sistema debe impedir que un registro ya sincronizado sea modificado o eliminado por cualquier rol distinto del Administrador del sistema, y debe exigir el registro de la aprobacion que respalda la correccion.</t>
  </si>
  <si>
    <t>RN-17: toda correccion de un dato sincronizado requiere (a) rol Administrador del sistema y (b) referencia a la aprobacion del gerente o ingeniero de produccion.</t>
  </si>
  <si>
    <t>Dado un registro de corte ya sincronizado, cuando un Supervisor de campo intenta modificarlo, entonces el sistema lo impide; cuando lo modifica el Administrador del sistema sin indicar la aprobacion, el sistema tampoco lo permite.</t>
  </si>
  <si>
    <t>RF-C18</t>
  </si>
  <si>
    <t>El sistema debe conservar, para cada dato de siembra, corte, baja y erradicacion, el autor, el dispositivo, la fecha y hora de captura, la fecha de sincronizacion y el valor anterior en caso de correccion.</t>
  </si>
  <si>
    <t>RN-18: ningun dato se sobrescribe sin dejar rastro del valor anterior y de quien lo cambio.</t>
  </si>
  <si>
    <t>Dado un registro corregido tres veces, cuando se consulta su historial, entonces el sistema muestra las tres versiones con autor, dispositivo, fecha de captura y fecha de sincronizacion de cada una.</t>
  </si>
  <si>
    <t>RF-C19</t>
  </si>
  <si>
    <t>El sistema debe mostrar al auditor los registros marcados como erroneos, en conflicto o pendientes de correccion, con su antiguedad.</t>
  </si>
  <si>
    <t>RN-19: la meta declarada es llevar el error de captura del 2% al 0%. Lo que no se ve no se corrige.</t>
  </si>
  <si>
    <t>Dado un conjunto de registros con 12 marcados como erroneos, cuando el auditor abre la vista de calidad de datos, entonces ve los 12, su antiguedad en dias y puede filtrarlos por bloque y por capturador.</t>
  </si>
  <si>
    <t>RF-C20</t>
  </si>
  <si>
    <t>Captura asistida (propuesta del equipo)</t>
  </si>
  <si>
    <t>El sistema debe permitir al usuario describir un registro en lenguaje natural y debe presentarle la interpretacion resultante para su confirmacion explicita antes de persistir cualquier dato.</t>
  </si>
  <si>
    <t>RN-20: el asistente propone, el sistema valida, el usuario confirma. Nunca escritura silenciosa. Las validaciones RF-C05 y RF-C06 corren sobre el resultado interpretado.</t>
  </si>
  <si>
    <t>Dado un supervisor que dicta 'bloque 7 cama 12 corte 300 tallos', cuando el asistente interpreta la frase, entonces el sistema muestra los campos resueltos contra el catalogo de la finca, no persiste nada hasta la confirmacion del usuario y permite corregir cualquier campo antes de confirmar.</t>
  </si>
  <si>
    <t>Propuesta del equipo - no validada con el cliente</t>
  </si>
  <si>
    <t>Could</t>
  </si>
  <si>
    <t>Propuesta equipo</t>
  </si>
  <si>
    <t>De lo que dijo el cliente al requisito</t>
  </si>
  <si>
    <t>La cita textual y la interpretacion nunca se mezclan. Si una fila no tiene cita, es propuesta del equipo y esta marcada como tal.</t>
  </si>
  <si>
    <t>Cita textual del cliente</t>
  </si>
  <si>
    <t>Hallazgo (que significa)</t>
  </si>
  <si>
    <t>Regla de negocio o restriccion</t>
  </si>
  <si>
    <t>Requisito derivado</t>
  </si>
  <si>
    <t>"El formato de plagas y enfermedades se llena en una app totalmente local en el celular y sube a la nube despues." / "Que sea facil, que a veces las aplicaciones ponemos tanta arandela que es muy complicado."</t>
  </si>
  <si>
    <t>La finca ya opera una app movil offline para monitoreo fitosanitario. Existe precedente tecnico y cultural de captura movil sin red; la exigencia real no es la conexion sino la simplicidad.</t>
  </si>
  <si>
    <t>"El supervisor llena formatos a lapiz y papel una hora al dia" y el practicante digita 4 horas por semana.</t>
  </si>
  <si>
    <t>Hoy la produccion se captura en papel y se redigita. Es el origen del 2% de error de captura y de los 8 dias de latencia.</t>
  </si>
  <si>
    <t>"Sube a la nube despues." / "La informacion tarda 8 dias en llegar a planeacion y gerencia."</t>
  </si>
  <si>
    <t>La sincronizacion diferida es la pieza que convierte la captura offline en dato utilizable. Es tambien el punto donde el sistema puede perder informacion sin que nadie se entere.</t>
  </si>
  <si>
    <t>"Solo 3 personas ingresan informacion: 1 supervisor y 2 auxiliares."</t>
  </si>
  <si>
    <t>Tres capturadores sobre 1.525 camas hacen improbable pero no imposible el solapamiento. En un esquema offline los dos registros son validos localmente y solo chocan al sincronizar.</t>
  </si>
  <si>
    <t>"No se puede registrar corte en una cama sembrada hace una semana."</t>
  </si>
  <si>
    <t>El cliente pidio validaciones duras de forma explicita. Como la captura es offline, la validacion debe ejecutarse en el dispositivo: validar solo en el servidor llegaria 8 dias tarde.</t>
  </si>
  <si>
    <t>"Nunca puede superar el 100%: si el sistema arroja mas tallos que plantas sembradas, hay un dato malo."</t>
  </si>
  <si>
    <t>El cliente entrego una regla de consistencia absoluta y verificable. Es la unica cota dura que dio para el motor de proyeccion.</t>
  </si>
  <si>
    <t>"1.000 plantas sembradas, 90% de productividad, da 900 tallos proyectados."</t>
  </si>
  <si>
    <t>Es la formula nuclear del producto y la unica que el cliente verbalizo completa. Todo lo demas del sistema existe para alimentarla o para consumirla.</t>
  </si>
  <si>
    <t>"Una cama no corta todo en un dia. El corte dura alrededor de 7 dias, segun variedad."</t>
  </si>
  <si>
    <t>Sin curva de distribucion, la proyeccion diaria que necesita el gerente de produccion es inutilizable, aunque el total semanal sea correcto.</t>
  </si>
  <si>
    <t>"Se debe digitar para que el sistema reste esa produccion proyectada." / "Lo que ya estaba vendido de ahi se cancela o se compra a terceros."</t>
  </si>
  <si>
    <t>Es la instruccion mas concreta que dio el cliente sobre comportamiento del sistema. Conecta directo con el 8% de las ventas que hoy se cubre comprando a terceros o cancelando ordenes.</t>
  </si>
  <si>
    <t>"Baja de produccion: cuando algo falla y parte del producto ya no sirve para venta, se descuenta un porcentaje de la produccion estimada. La idea es que sea de un dia para otro, hoy pasa cada semana."</t>
  </si>
  <si>
    <t>El cliente nombro explicitamente la latencia actual (una semana) y la deseada (un dia). Esa brecha es requisito, no aspiracion.</t>
  </si>
  <si>
    <t>"Hoy se ajusta mensualmente o cuando es necesario. Se quiere que sea semanal."</t>
  </si>
  <si>
    <t>El ajuste semanal es una brecha declarada entre el estado actual y el deseado. Conservar versiones no lo pidio el cliente, pero sin ello es imposible medir si la proyeccion mejoro.</t>
  </si>
  <si>
    <t>"El corte real debe quedar dentro del +/-10% de lo que el sistema proyecto." / "Hoy el presupuesto contra el corte real esta en -6%."</t>
  </si>
  <si>
    <t>Esta es la metrica de exito del proyecto entero. Si el sistema no la muestra, nadie puede saber si FlorLogic sirvio. El cliente aclaro que la desviacion puede ser por encima o por debajo.</t>
  </si>
  <si>
    <t>"Parametrizacion por parte del administrador: ciclos, dias a corte, densidades, margenes." / "El ingeniero agronomo define la densidad de siembra segun la variedad."</t>
  </si>
  <si>
    <t>Todos los numeros del motor los define un humano y cambian por variedad. Quemarlos en codigo convierte cada ajuste agronomico en un despliegue.</t>
  </si>
  <si>
    <t>"Gerencia general mensual, gerente de ventas semanal, gerente de produccion diario."</t>
  </si>
  <si>
    <t>Tres consumidores distintos piden tres granularidades del mismo numero. No son tres reportes: es una agregacion del mismo dato base, que es diario.</t>
  </si>
  <si>
    <t>"Hay informacion muy compartida en todo el sistema, no hay restriccion." La unica excepcion declarada: los supervisores y auxiliares no ven precio de venta.</t>
  </si>
  <si>
    <t>El cliente dio un modelo de seguridad casi abierto con una sola restriccion dura. Eso simplifica el diseno, pero convierte esa unica regla en algo que no puede fallar en ningun canal.</t>
  </si>
  <si>
    <t>"App totalmente local en el celular" combinado con los tres roles definidos y la restriccion de precio de venta.</t>
  </si>
  <si>
    <t>Choque directo entre dos requisitos del cliente: la captura funciona sin red, pero la autorizacion normalmente vive en el servidor. Resolverlo es una decision de arquitectura, no un detalle de implementacion.</t>
  </si>
  <si>
    <t>"Un dato mal registrado solo lo puede corregir el ingeniero de sistemas, con aprobacion del gerente o ingeniero de produccion."</t>
  </si>
  <si>
    <t>El cliente describio un control que hoy existe como acuerdo verbal. Llevarlo al sistema es lo que convierte la trazabilidad en algo defendible.</t>
  </si>
  <si>
    <t>"Trazabilidad completa hasta la cama de origen." / "El 2% de error lo revisa un auditor y debe llevarlo a 0%."</t>
  </si>
  <si>
    <t>Sin bitacora no hay auditoria posible y no se puede reconstruir por que una proyeccion dio lo que dio. Tambien es lo que permite atribuir errores al proceso, no a la persona.</t>
  </si>
  <si>
    <t>"Ese 2% no esta visualizado en ninguna parte."</t>
  </si>
  <si>
    <t>El cliente identifico el problema y su ausencia de solucion en la misma frase. Es una funcionalidad barata con impacto directo sobre el atributo que puso en primer lugar.</t>
  </si>
  <si>
    <t>"Que sea facil, que a veces las aplicaciones ponemos tanta arandela que es muy complicado." El requisito de facilidad es del cliente; la captura por lenguaje natural NO lo es.</t>
  </si>
  <si>
    <t>Este RF no salio de la entrevista: es una propuesta de diseno del equipo para atender la exigencia de rapidez y baja digitalizacion. Debe documentarse como tal y sostenerse con una medicion, no con intuicion.</t>
  </si>
  <si>
    <t>Matriz de criticidad</t>
  </si>
  <si>
    <t>Puntaje 0 a 3 en cada eje. Los pesos de la fila 3 son editables y el indice se recalcula solo. Suma de pesos en L3.</t>
  </si>
  <si>
    <t>Pesos -&gt;</t>
  </si>
  <si>
    <t>&lt;- debe dar 100%</t>
  </si>
  <si>
    <t>Requisito (resumen)</t>
  </si>
  <si>
    <t>Prio.</t>
  </si>
  <si>
    <t>Sin esto no hay producto</t>
  </si>
  <si>
    <t>Riesgo arquitectonico</t>
  </si>
  <si>
    <t>Alto impacto de negocio</t>
  </si>
  <si>
    <t>Alto riesgo de fallo</t>
  </si>
  <si>
    <t>Indice ponderado</t>
  </si>
  <si>
    <t>Nivel</t>
  </si>
  <si>
    <t>El sistema debe permitir registrar la siembra de una cama (bloque, nave, cama, variedad, fecha, cantidad de esquejes) sin conexion a internet, y confi...</t>
  </si>
  <si>
    <t>El sistema debe sincronizar los registros capturados en el dispositivo con el repositorio central cuando haya conectividad, sin perder registros y sin...</t>
  </si>
  <si>
    <t>El sistema debe detectar cuando dos registros distintos afectan la misma cama en la misma fecha y presentar el conflicto para resolucion humana, sin s...</t>
  </si>
  <si>
    <t>El sistema debe impedir el registro de un evento que sea imposible dentro del ciclo fenologico de la cama, y explicar al usuario por que lo rechaza, a...</t>
  </si>
  <si>
    <t>El sistema debe calcular los tallos proyectados de una cama a partir de su area, la densidad de siembra de la variedad y el porcentaje de productivida...</t>
  </si>
  <si>
    <t>El sistema debe permitir registrar una baja de produccion, expresada en porcentaje o en tallos, y descontarla de la produccion estimada de la cama afe...</t>
  </si>
  <si>
    <t>El sistema debe regenerar la proyeccion con la informacion acumulada al menos una vez por semana y conservar la version anterior de cada proyeccion ge...</t>
  </si>
  <si>
    <t>El sistema debe mostrar la desviacion entre el corte real y el corte proyectado, por cama, variedad y periodo, senalando los casos que salen de la ban...</t>
  </si>
  <si>
    <t>El sistema debe permitir al administrador del sistema parametrizar densidad de siembra, porcentaje de productividad esperada, dias a corte por etapa, ...</t>
  </si>
  <si>
    <t>El sistema debe impedir que los usuarios con rol Supervisor de campo accedan a informacion de precio de venta, en cualquier pantalla, reporte o export...</t>
  </si>
  <si>
    <t>El sistema debe impedir que un registro ya sincronizado sea modificado o eliminado por cualquier rol distinto del Administrador del sistema, y debe ex...</t>
  </si>
  <si>
    <t>El sistema debe conservar, para cada dato de siembra, corte, baja y erradicacion, el autor, el dispositivo, la fecha y hora de captura, la fecha de si...</t>
  </si>
  <si>
    <t>El sistema debe permitir al usuario describir un registro en lenguaje natural y debe presentarle la interpretacion resultante para su confirmacion exp...</t>
  </si>
  <si>
    <t>Resumen</t>
  </si>
  <si>
    <t>RF criticos totales</t>
  </si>
  <si>
    <t>Nivel 'Critico alto'</t>
  </si>
  <si>
    <t>Nivel 'Critico'</t>
  </si>
  <si>
    <t>Indice promedio</t>
  </si>
  <si>
    <t>Indice maximo</t>
  </si>
  <si>
    <t>Escala de cada eje</t>
  </si>
  <si>
    <t>No aplica</t>
  </si>
  <si>
    <t>Bajo</t>
  </si>
  <si>
    <t>Medio</t>
  </si>
  <si>
    <t>Alto</t>
  </si>
  <si>
    <t>RF critico -&gt; atributos de calidad candidatos</t>
  </si>
  <si>
    <t>Insumo para escribir los escenarios. Aun NO son escenarios: falta la medida de respuesta, que es justo lo que hay que negociar con el cliente.</t>
  </si>
  <si>
    <t>Indice</t>
  </si>
  <si>
    <t>Atributos de calidad que tensiona</t>
  </si>
  <si>
    <t>Por que tensiona ese atributo</t>
  </si>
  <si>
    <t>Que falta para escribir el escenario</t>
  </si>
  <si>
    <t>El sistema debe permitir registrar la siembra de una cama (bloque, nave, cama, variedad, fecha, cantidad de esquejes) sin conexion a interne...</t>
  </si>
  <si>
    <t>Disponibilidad; Confiabilidad; Experiencia de usuario</t>
  </si>
  <si>
    <t>La captura tiene que funcionar cuando el respaldo tecnico no esta disponible, y la tiene que usar gente de baja digitalizacion mas rapido que el papel.</t>
  </si>
  <si>
    <t>Falta el tiempo maximo aceptable de confirmacion (el boceto de S2 uso 3 s). Falta la lista definitiva de campos obligatorios del formato de siembra.</t>
  </si>
  <si>
    <t>Mismo caso que la siembra, pero con volumen: en temporada pico los registros suben 60%.</t>
  </si>
  <si>
    <t>Falta el catalogo de grados y calidades de esta finca (BR-11). Sin el no se sabe con que granularidad se registra el corte.</t>
  </si>
  <si>
    <t>El sistema debe sincronizar los registros capturados en el dispositivo con el repositorio central cuando haya conectividad, sin perder regis...</t>
  </si>
  <si>
    <t>Confiabilidad; Disponibilidad; Interoperatividad</t>
  </si>
  <si>
    <t>Es el punto unico donde el sistema puede perder un dato de forma silenciosa. Confiabilidad es el atributo numero 1 del cliente.</t>
  </si>
  <si>
    <t>Falta definir la ventana maxima aceptable entre captura y disponibilidad del dato (hoy 8 dias; el objetivo declarado es 'de un dia para otro').</t>
  </si>
  <si>
    <t>El sistema debe detectar cuando dos registros distintos afectan la misma cama en la misma fecha y presentar el conflicto para resolucion hum...</t>
  </si>
  <si>
    <t>Confiabilidad; Trazabilidad</t>
  </si>
  <si>
    <t>Un conflicto mal resuelto contamina la proyeccion sin que nadie lo note.</t>
  </si>
  <si>
    <t>No se pregunto al cliente si dos personas pueden registrar la misma cama. Hay que confirmarlo: si nunca ocurre, este RF baja de prioridad.</t>
  </si>
  <si>
    <t>El sistema debe impedir el registro de un evento que sea imposible dentro del ciclo fenologico de la cama, y explicar al usuario por que lo ...</t>
  </si>
  <si>
    <t>Confiabilidad; Experiencia de usuario; Capacidad para ser administrado</t>
  </si>
  <si>
    <t>La validacion tiene que correr en el dispositivo, no en el servidor, o llega 8 dias tarde.</t>
  </si>
  <si>
    <t>Falta la tabla completa de dias a corte por variedad. Falta decidir si el rechazo es duro o admite anulacion por parte de un administrador.</t>
  </si>
  <si>
    <t>Es la unica cota dura verificable que dio el cliente. Si falla, el motor entrega numeros imposibles.</t>
  </si>
  <si>
    <t>Confirmar si la cota aplica al acumulado de los ~7 dias de corte o a cada registro diario. Hoy se asume que al acumulado.</t>
  </si>
  <si>
    <t>El sistema debe calcular los tallos proyectados de una cama a partir de su area, la densidad de siembra de la variedad y el porcentaje de pr...</t>
  </si>
  <si>
    <t>Confiabilidad; Rendimiento; Trazabilidad</t>
  </si>
  <si>
    <t>Es la formula nuclear. Debe responder rapido sobre 1.525 camas y ser reproducible: dos ejecuciones con los mismos datos dan el mismo numero.</t>
  </si>
  <si>
    <t>BR-23 abierta: no se sabe de donde sale el %productividad esperada por variedad (historico, tabla del agronomo o ficha del proveedor). Sin esa fuente el motor no puede correr.</t>
  </si>
  <si>
    <t>El sistema debe distribuir los tallos proyectados de una cama a lo largo de los dias que dura su corte, en vez de asignarlos todos a una sol...</t>
  </si>
  <si>
    <t>Confiabilidad; Rendimiento</t>
  </si>
  <si>
    <t>Sin curva no hay proyeccion diaria, que es lo que consume el gerente de produccion.</t>
  </si>
  <si>
    <t>BR-23 abierta: la curva no existe hoy. Es el ultimo hueco del motor. Sin ella solo se puede proyectar a nivel semanal.</t>
  </si>
  <si>
    <t>El sistema debe permitir registrar la erradicacion de una cama y descontar hacia adelante la produccion que quedaba proyectada para esa cama...</t>
  </si>
  <si>
    <t>Confiabilidad; Trazabilidad; Disponibilidad</t>
  </si>
  <si>
    <t>El recalculo debe estar disponible el mismo dia: de ahi depende cancelar una orden o comprar a terceros.</t>
  </si>
  <si>
    <t>Definir que pasa con la produccion ya cortada de esa cama antes de la erradicacion, y si la erradicacion parcial de una cama es posible.</t>
  </si>
  <si>
    <t>El sistema debe permitir registrar una baja de produccion, expresada en porcentaje o en tallos, y descontarla de la produccion estimada de l...</t>
  </si>
  <si>
    <t>El cliente pidio pasar de una semana a un dia de latencia. Es un requisito de oportunidad del dato.</t>
  </si>
  <si>
    <t>No hay criterio objetivo para el porcentaje de baja: hoy es juicio del director. Falta el catalogo de motivos de baja.</t>
  </si>
  <si>
    <t>El sistema debe regenerar la proyeccion con la informacion acumulada al menos una vez por semana y conservar la version anterior de cada pro...</t>
  </si>
  <si>
    <t>Confiabilidad; Rendimiento; Trazabilidad; Capacidad</t>
  </si>
  <si>
    <t>Regenerar semanalmente sobre 1.525 camas y 1,5 anos de horizonte es el mayor consumo de computo del sistema.</t>
  </si>
  <si>
    <t>Definir si el recalculo es programado o disparado por el usuario, y cuanto puede tardar sobre 1.525 camas y un horizonte de 1,5 anos.</t>
  </si>
  <si>
    <t>El sistema debe mostrar la desviacion entre el corte real y el corte proyectado, por cama, variedad y periodo, senalando los casos que salen...</t>
  </si>
  <si>
    <t>Confiabilidad; Trazabilidad; Experiencia de usuario</t>
  </si>
  <si>
    <t>Es la metrica de exito. Si el numero que muestra no es confiable, el proyecto no se puede evaluar.</t>
  </si>
  <si>
    <t>BR-21 abierta y critica: no se sabe a que nivel de agregacion se miden el -6% y el +/-10%. De eso depende la linea base del proyecto.</t>
  </si>
  <si>
    <t>El sistema debe permitir al administrador del sistema parametrizar densidad de siembra, porcentaje de productividad esperada, dias a corte p...</t>
  </si>
  <si>
    <t>Capacidad para ser administrado; Capacidad para ser soportado; Confiabilidad</t>
  </si>
  <si>
    <t>Si parametrizar exige un despliegue, el sistema no es administrable por la finca y depende del equipo de desarrollo para siempre.</t>
  </si>
  <si>
    <t>BR-22 abierta: 9 variedades activas o ~300 con subvariedades. Cambia por completo el dimensionamiento del catalogo y de la interfaz de parametrizacion.</t>
  </si>
  <si>
    <t>Confiabilidad; Rendimiento; Experiencia de usuario</t>
  </si>
  <si>
    <t>Tres granularidades del mismo dato deben conciliar siempre; si no, gerencia y produccion discuten sobre numeros distintos.</t>
  </si>
  <si>
    <t>Definir el corte de semana de la finca (lunes a domingo u otro) y si coincide con el corte que usa contabilidad.</t>
  </si>
  <si>
    <t>El sistema debe impedir que los usuarios con rol Supervisor de campo accedan a informacion de precio de venta, en cualquier pantalla, report...</t>
  </si>
  <si>
    <t>Seguridad; Confiabilidad</t>
  </si>
  <si>
    <t>Es la unica regla de seguridad dura del sistema. Una fuga por un reporte o una exportacion la invalida entera.</t>
  </si>
  <si>
    <t>Confirmar si la restriccion cubre tambien datos derivados del precio (valor de la venta proyectada, margen).</t>
  </si>
  <si>
    <t>Seguridad; Disponibilidad; Confiabilidad</t>
  </si>
  <si>
    <t>Autorizar sin servidor es un choque directo entre seguridad y disponibilidad. Hay que decidir explicitamente cuanto se cede.</t>
  </si>
  <si>
    <t>Falta definir la duracion de la ventana de sesion offline y que ocurre si el dispositivo se pierde con registros sin sincronizar.</t>
  </si>
  <si>
    <t>El sistema debe impedir que un registro ya sincronizado sea modificado o eliminado por cualquier rol distinto del Administrador del sistema,...</t>
  </si>
  <si>
    <t>Trazabilidad; Seguridad; Confiabilidad</t>
  </si>
  <si>
    <t>Sin este control, la trazabilidad es decorativa: cualquiera puede reescribir la historia.</t>
  </si>
  <si>
    <t>Definir si la aprobacion se captura dentro del sistema (flujo) o solo se referencia como texto. Un flujo cambia el alcance.</t>
  </si>
  <si>
    <t>El sistema debe conservar, para cada dato de siembra, corte, baja y erradicacion, el autor, el dispositivo, la fecha y hora de captura, la f...</t>
  </si>
  <si>
    <t>Trazabilidad; Capacidad; Rendimiento</t>
  </si>
  <si>
    <t>La bitacora crece con el volumen y el pico de temporada. Es un problema de capacidad ademas de trazabilidad.</t>
  </si>
  <si>
    <t>Definir el periodo de retencion de la bitacora y su impacto en volumen, considerando el pico de +60% de registros en temporada.</t>
  </si>
  <si>
    <t>Confiabilidad; Experiencia de usuario; Capacidad para ser soportado</t>
  </si>
  <si>
    <t>Es lo que permite bajar el error de captura del 2% al 0%. Hoy ese 2% es invisible.</t>
  </si>
  <si>
    <t>Definir que hace que un registro quede 'marcado como erroneo': validacion automatica, revision del auditor, o ambas.</t>
  </si>
  <si>
    <t>El sistema debe permitir al usuario describir un registro en lenguaje natural y debe presentarle la interpretacion resultante para su confir...</t>
  </si>
  <si>
    <t>Accesibilidad; Experiencia de usuario; Confiabilidad; Rendimiento; Portabilidad</t>
  </si>
  <si>
    <t>Corre en gama baja, sin red, con ruido de invernadero y vocabulario tecnico que los transcriptores automaticos ya destrozaron. Toca casi todos los atributos a la vez.</t>
  </si>
  <si>
    <t>BR-24 abierta: el cliente puso accesibilidad en el puesto 10 de 14, probablemente por no entender el termino. Sin reabrir esa fila, este RF no tiene respaldo. Ademas falta la medicion contra un formulario optimizado.</t>
  </si>
  <si>
    <t>Cuantos RF criticos tocan cada atributo</t>
  </si>
  <si>
    <t>Atributo</t>
  </si>
  <si>
    <t>Prio. cliente</t>
  </si>
  <si>
    <t>RF que lo tocan</t>
  </si>
  <si>
    <t>Lectura</t>
  </si>
  <si>
    <t>Confiabilidad</t>
  </si>
  <si>
    <t>1</t>
  </si>
  <si>
    <t>Coincide: es el atributo que mas RF criticos tocan y el que el cliente puso primero.</t>
  </si>
  <si>
    <t>Experiencia de usuario</t>
  </si>
  <si>
    <t>2</t>
  </si>
  <si>
    <t>Coincide con la insistencia del cliente en que sea facil.</t>
  </si>
  <si>
    <t>Disponibilidad</t>
  </si>
  <si>
    <t>3</t>
  </si>
  <si>
    <t>Tolerancia declarada: ~1 hora de caida. Cuatro horas es demasiado.</t>
  </si>
  <si>
    <t>Interoperatividad</t>
  </si>
  <si>
    <t>Aparece poco en los RF criticos porque el sistema actual sigue sin identificarse.</t>
  </si>
  <si>
    <t>Seguridad</t>
  </si>
  <si>
    <t>4</t>
  </si>
  <si>
    <t>Concentrada en una sola regla: precio de venta. Poco extendida pero no negociable.</t>
  </si>
  <si>
    <t>Rendimiento</t>
  </si>
  <si>
    <t>5</t>
  </si>
  <si>
    <t>Ligado al recalculo semanal y a la inferencia en dispositivo de gama baja.</t>
  </si>
  <si>
    <t>Capacidad para ser soportado</t>
  </si>
  <si>
    <t>6</t>
  </si>
  <si>
    <t>-</t>
  </si>
  <si>
    <t>Capacidad para ser administrado</t>
  </si>
  <si>
    <t>7</t>
  </si>
  <si>
    <t>La parametrizacion es lo que evita depender del equipo de desarrollo. El cliente lo puso en 7; el diseno sugiere mas arriba.</t>
  </si>
  <si>
    <t>Trazabilidad</t>
  </si>
  <si>
    <t>8</t>
  </si>
  <si>
    <t>El cliente la puso en 8, pero es requisito de alcance explicito (hasta la cama de origen). Revisar.</t>
  </si>
  <si>
    <t>Capacidad</t>
  </si>
  <si>
    <t>9</t>
  </si>
  <si>
    <t>Pico de temporada +60% en registros. Falta el volumen absoluto.</t>
  </si>
  <si>
    <t>Accesibilidad</t>
  </si>
  <si>
    <t>10</t>
  </si>
  <si>
    <t>TENSION ABIERTA (BR-24): definida como capacidad de ser usado por personas con baja digitalizacion. Es la premisa del RF-C20 y el cliente la puso casi al final. Reabrir con la definicion explicita.</t>
  </si>
  <si>
    <t>Portabilidad</t>
  </si>
  <si>
    <t>11</t>
  </si>
  <si>
    <t>Escalabilidad</t>
  </si>
  <si>
    <t>12</t>
  </si>
  <si>
    <t>Relevante solo si se persigue el modelo SaaS mencionado en la sesion 1.</t>
  </si>
  <si>
    <t>Seguridad de funcionamiento (safety)</t>
  </si>
  <si>
    <t>14</t>
  </si>
  <si>
    <t>Sin evidencia de que aplique en este alcance.</t>
  </si>
  <si>
    <t>Esqueleto de escenarios de calidad</t>
  </si>
  <si>
    <t>Estructura vacia lista para llenar en la siguiente iteracion. La columna 'Medida de respuesta' es la que hay que negociar con el cliente: hoy casi todas estan sin numero.</t>
  </si>
  <si>
    <t>ID esc.</t>
  </si>
  <si>
    <t>RF asociado</t>
  </si>
  <si>
    <t>Fuente del estimulo</t>
  </si>
  <si>
    <t>Estimulo</t>
  </si>
  <si>
    <t>Artefacto</t>
  </si>
  <si>
    <t>Entorno</t>
  </si>
  <si>
    <t>Respuesta esperada</t>
  </si>
  <si>
    <t>Medida de respuesta</t>
  </si>
  <si>
    <t>ESC-01</t>
  </si>
  <si>
    <t>Registra la siembra de una cama</t>
  </si>
  <si>
    <t>App movil de captura</t>
  </si>
  <si>
    <t>En campo, sin cobertura de red</t>
  </si>
  <si>
    <t>El registro queda persistido en el dispositivo y confirmado en pantalla</t>
  </si>
  <si>
    <t>PENDIENTE - el boceto de S2 uso 3 s. Confirmar con el cliente</t>
  </si>
  <si>
    <t>Por definir</t>
  </si>
  <si>
    <t>ESC-02</t>
  </si>
  <si>
    <t>Dispositivo movil</t>
  </si>
  <si>
    <t>Recupera conectividad con N registros pendientes</t>
  </si>
  <si>
    <t>Servicio de sincronizacion</t>
  </si>
  <si>
    <t>Fin de jornada, red intermitente</t>
  </si>
  <si>
    <t>Los N registros llegan al repositorio central exactamente una vez</t>
  </si>
  <si>
    <t>PENDIENTE - 0 registros perdidos; % de duplicados aceptable = 0</t>
  </si>
  <si>
    <t>ESC-03</t>
  </si>
  <si>
    <t>Intenta registrar un corte imposible segun el ciclo</t>
  </si>
  <si>
    <t>Motor de validacion en dispositivo</t>
  </si>
  <si>
    <t>Sin conexion</t>
  </si>
  <si>
    <t>El sistema rechaza el registro y explica el motivo</t>
  </si>
  <si>
    <t>PENDIENTE - 100% de los casos imposibles rechazados, sin red</t>
  </si>
  <si>
    <t>ESC-04</t>
  </si>
  <si>
    <t>Programador de tareas</t>
  </si>
  <si>
    <t>Dispara el recalculo semanal de la proyeccion</t>
  </si>
  <si>
    <t>1.525 camas, horizonte 1,5 anos, temporada pico</t>
  </si>
  <si>
    <t>La proyeccion nueva queda publicada</t>
  </si>
  <si>
    <t>PENDIENTE - tiempo maximo de recalculo. Sin dato del cliente</t>
  </si>
  <si>
    <t>ESC-05</t>
  </si>
  <si>
    <t>Administrador de produccion</t>
  </si>
  <si>
    <t>Registra la erradicacion de una cama</t>
  </si>
  <si>
    <t>Dia habil, sistema en operacion</t>
  </si>
  <si>
    <t>La proyeccion agregada se ajusta descontando esa cama</t>
  </si>
  <si>
    <t>PENDIENTE - el cliente hablo de 'de un dia para otro'. Confirmar si aplica aqui</t>
  </si>
  <si>
    <t>ESC-06</t>
  </si>
  <si>
    <t>Consulta o exporta un reporte con informacion comercial</t>
  </si>
  <si>
    <t>Capa de autorizacion</t>
  </si>
  <si>
    <t>Cualquier canal: pantalla, reporte, exportacion</t>
  </si>
  <si>
    <t>El precio de venta no aparece ni es recuperable</t>
  </si>
  <si>
    <t>0 apariciones del precio de venta en cualquier canal</t>
  </si>
  <si>
    <t>Propuesto</t>
  </si>
  <si>
    <t>ESC-07</t>
  </si>
  <si>
    <t>Supervisor de baja digitalizacion</t>
  </si>
  <si>
    <t>Dicta un registro en lenguaje natural en un invernadero con ruido</t>
  </si>
  <si>
    <t>Asistente de captura local</t>
  </si>
  <si>
    <t>Dispositivo de gama baja, sin red, ruido ambiente</t>
  </si>
  <si>
    <t>El sistema propone la interpretacion correcta contra el catalogo de la finca</t>
  </si>
  <si>
    <t>PENDIENTE - % de acierto minimo y tiempo maximo. Requiere medicion, no estimacion</t>
  </si>
  <si>
    <t>ESC-08</t>
  </si>
  <si>
    <t>Consulta la desviacion entre corte real y proyectado</t>
  </si>
  <si>
    <t>Modulo de control de exactitud</t>
  </si>
  <si>
    <t>Cierre de semana</t>
  </si>
  <si>
    <t>El sistema muestra la desviacion y la clasifica dentro o fuera de banda</t>
  </si>
  <si>
    <t>BLOQUEADO por BR-21 - falta el nivel de agregacion al que se mide</t>
  </si>
  <si>
    <t>Bloqueado</t>
  </si>
  <si>
    <t>Brechas abiertas que condicionan estos requisitos</t>
  </si>
  <si>
    <t>Cada fila es algo que, sin resolver, deja un RF critico sin poder cerrarse o sin poder convertirse en escenario medible.</t>
  </si>
  <si>
    <t>Brecha</t>
  </si>
  <si>
    <t>RF afectados</t>
  </si>
  <si>
    <t>Por que bloquea</t>
  </si>
  <si>
    <t>A quien se le pregunta</t>
  </si>
  <si>
    <t>BR-21</t>
  </si>
  <si>
    <t>A que nivel de agregacion se miden el -6% actual y el +/-10% objetivo</t>
  </si>
  <si>
    <t>Define la linea base y la metrica de exito del proyecto. Si el 6% es finca/ano y el 10% es cama/semana, la meta no es mas floja de lo que ya logran; si es al mismo nivel, si lo es.</t>
  </si>
  <si>
    <t>Director de Produccion</t>
  </si>
  <si>
    <t>Abierta</t>
  </si>
  <si>
    <t>BR-23</t>
  </si>
  <si>
    <t>De donde sale el %productividad esperada por variedad y como se reparten los tallos en los ~7 dias de corte</t>
  </si>
  <si>
    <t>RF-C07, RF-C08</t>
  </si>
  <si>
    <t>Es el ultimo hueco del motor. Sin la fuente del porcentaje no hay proyeccion; sin la curva no hay proyeccion diaria.</t>
  </si>
  <si>
    <t>Director de Produccion / Ing. agronomo</t>
  </si>
  <si>
    <t>BR-22</t>
  </si>
  <si>
    <t>9 variedades activas o ~300 con subvariedades</t>
  </si>
  <si>
    <t>RF-C13, RF-C20</t>
  </si>
  <si>
    <t>Cambia el dimensionamiento del modelo de datos, de la interfaz de parametrizacion y del catalogo cerrado del asistente de captura.</t>
  </si>
  <si>
    <t>BR-24</t>
  </si>
  <si>
    <t>Accesibilidad quedo en el puesto 10 de 14 pese a ser la premisa del asistente de captura</t>
  </si>
  <si>
    <t>El propio cliente repitio que sea facil y puso experiencia de usuario en 2. Probablemente no entendio el termino. Sin reabrir la fila, el RF-C20 no tiene respaldo del cliente.</t>
  </si>
  <si>
    <t>BR-11</t>
  </si>
  <si>
    <t>Catalogo de grados y calidades de la finca</t>
  </si>
  <si>
    <t>RF-C02, RF-C14</t>
  </si>
  <si>
    <t>Sin el no se sabe con que granularidad se registra el corte ni como se agrupa la produccion proyectada para ventas.</t>
  </si>
  <si>
    <t>BR-N1</t>
  </si>
  <si>
    <t>Tiempo maximo aceptable de confirmacion de captura en campo</t>
  </si>
  <si>
    <t>RF-C01, RF-C02, RF-C20</t>
  </si>
  <si>
    <t>Es el numero que convierte 'que sea facil' en algo verificable. Sin el, ESC-01 y ESC-07 no tienen medida de respuesta.</t>
  </si>
  <si>
    <t>Director de Produccion / medicion en campo</t>
  </si>
  <si>
    <t>BR-N2</t>
  </si>
  <si>
    <t>El sistema actual sigue sin identificarse (nombre, alcance, datos)</t>
  </si>
  <si>
    <t>RF-C03, RF-C13</t>
  </si>
  <si>
    <t>No se sabe si FlorLogic reemplaza, alimenta o convive con lo existente. Condiciona toda la interoperatividad.</t>
  </si>
  <si>
    <t>Director de Produccion / Ing. de sistemas</t>
  </si>
  <si>
    <t>BR-N3</t>
  </si>
  <si>
    <t>Los documentos prometidos no han llegado (plan de siembra, presupuestos, formatos llenos, historico)</t>
  </si>
  <si>
    <t>Todos</t>
  </si>
  <si>
    <t>Un formato en papel lleno contesta veinte preguntas que nunca se hicieron. Es el bloqueo real del levantamiento.</t>
  </si>
  <si>
    <t>BR-N4</t>
  </si>
  <si>
    <t>Puede una misma cama ser registrada por dos capturadores en la misma fecha</t>
  </si>
  <si>
    <t>Si nunca ocurre, RF-C04 baja de Should a Could y se simplifica la arquitectura de sincronizacion.</t>
  </si>
  <si>
    <t>No preguntada</t>
  </si>
  <si>
    <t>BR-N5</t>
  </si>
  <si>
    <t>Duracion de la ventana de sesion offline y que pasa si se pierde un dispositivo con registros sin sincronizar</t>
  </si>
  <si>
    <t>Es donde seguridad y disponibilidad chocan. La decision no puede quedar implicita.</t>
  </si>
  <si>
    <t>Equipo / Director de Produccion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</si>
</sst>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3864"/>
      <name val="Arial"/>
    </font>
    <font>
      <i/>
      <sz val="9"/>
      <color rgb="FF595959"/>
      <name val="Arial"/>
    </font>
    <font>
      <b/>
      <sz val="9"/>
      <name val="Arial"/>
    </font>
    <font>
      <sz val="9"/>
      <name val="Arial"/>
    </font>
    <font>
      <b/>
      <sz val="9"/>
      <color rgb="FFFFFFFF"/>
      <name val="Arial"/>
    </font>
    <font>
      <i/>
      <sz val="9"/>
      <color rgb="FF1F3864"/>
      <name val="Arial"/>
    </font>
  </fonts>
  <fills count="9">
    <fill>
      <patternFill patternType="none"/>
    </fill>
    <fill>
      <patternFill patternType="gray125"/>
    </fill>
    <fill>
      <patternFill patternType="solid">
        <fgColor rgb="FFF2F2F2"/>
      </patternFill>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2E5C8A"/>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5"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vertical="top" wrapText="1"/>
    </xf>
    <xf numFmtId="0" fontId="4" fillId="6" borderId="1" xfId="0"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3" fillId="0" borderId="0" xfId="0" applyFont="1"/>
    <xf numFmtId="9" fontId="3" fillId="5" borderId="1" xfId="0" applyNumberFormat="1" applyFont="1" applyFill="1" applyBorder="1" applyAlignment="1">
      <alignment horizontal="center" vertical="center" wrapText="1"/>
    </xf>
    <xf numFmtId="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4" fillId="2" borderId="1" xfId="0" applyFont="1" applyFill="1" applyBorder="1"/>
    <xf numFmtId="0" fontId="4" fillId="0" borderId="0" xfId="0" applyFont="1" applyAlignment="1">
      <alignment horizontal="center" vertical="center" wrapText="1"/>
    </xf>
    <xf numFmtId="0" fontId="4" fillId="0" borderId="0" xfId="0" applyFont="1"/>
    <xf numFmtId="2" fontId="4" fillId="0" borderId="1" xfId="0" applyNumberFormat="1" applyFont="1" applyBorder="1" applyAlignment="1">
      <alignment horizontal="center" vertical="center" wrapText="1"/>
    </xf>
    <xf numFmtId="0" fontId="4" fillId="8" borderId="1" xfId="0" applyFont="1" applyFill="1" applyBorder="1" applyAlignment="1">
      <alignment vertical="top"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workbookViewId="0">
      <selection activeCell="B11" sqref="B11"/>
    </sheetView>
  </sheetViews>
  <sheetFormatPr baseColWidth="10" defaultColWidth="8.88671875" defaultRowHeight="14.4" x14ac:dyDescent="0.3"/>
  <cols>
    <col min="1" max="1" width="30" customWidth="1"/>
    <col min="2" max="2" width="110" customWidth="1"/>
  </cols>
  <sheetData>
    <row r="1" spans="1:2" ht="17.399999999999999" x14ac:dyDescent="0.3">
      <c r="A1" s="1" t="s">
        <v>0</v>
      </c>
    </row>
    <row r="2" spans="1:2" x14ac:dyDescent="0.3">
      <c r="A2" s="2" t="s">
        <v>1</v>
      </c>
    </row>
    <row r="4" spans="1:2" ht="42" customHeight="1" x14ac:dyDescent="0.3">
      <c r="A4" s="3" t="s">
        <v>2</v>
      </c>
      <c r="B4" s="4" t="s">
        <v>3</v>
      </c>
    </row>
    <row r="5" spans="1:2" ht="42" customHeight="1" x14ac:dyDescent="0.3">
      <c r="A5" s="3" t="s">
        <v>4</v>
      </c>
      <c r="B5" s="4" t="s">
        <v>5</v>
      </c>
    </row>
    <row r="6" spans="1:2" ht="42" customHeight="1" x14ac:dyDescent="0.3">
      <c r="A6" s="3" t="s">
        <v>6</v>
      </c>
      <c r="B6" s="4" t="s">
        <v>7</v>
      </c>
    </row>
    <row r="7" spans="1:2" ht="42" customHeight="1" x14ac:dyDescent="0.3">
      <c r="A7" s="3" t="s">
        <v>8</v>
      </c>
      <c r="B7" s="4" t="s">
        <v>9</v>
      </c>
    </row>
    <row r="8" spans="1:2" ht="42" customHeight="1" x14ac:dyDescent="0.3">
      <c r="A8" s="3" t="s">
        <v>10</v>
      </c>
      <c r="B8" s="4" t="s">
        <v>11</v>
      </c>
    </row>
    <row r="9" spans="1:2" ht="42" customHeight="1" x14ac:dyDescent="0.3">
      <c r="A9" s="3" t="s">
        <v>12</v>
      </c>
      <c r="B9" s="4" t="s">
        <v>13</v>
      </c>
    </row>
    <row r="10" spans="1:2" ht="42" customHeight="1" x14ac:dyDescent="0.3">
      <c r="A10" s="3" t="s">
        <v>14</v>
      </c>
      <c r="B10" s="4" t="s">
        <v>15</v>
      </c>
    </row>
    <row r="11" spans="1:2" ht="42" customHeight="1" x14ac:dyDescent="0.3">
      <c r="A11" s="3" t="s">
        <v>16</v>
      </c>
      <c r="B11" s="4"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showGridLines="0" tabSelected="1" workbookViewId="0">
      <pane ySplit="4" topLeftCell="A5" activePane="bottomLeft" state="frozen"/>
      <selection pane="bottomLeft" activeCell="C6" sqref="C6"/>
    </sheetView>
  </sheetViews>
  <sheetFormatPr baseColWidth="10" defaultColWidth="8.88671875" defaultRowHeight="14.4" x14ac:dyDescent="0.3"/>
  <cols>
    <col min="1" max="1" width="10" customWidth="1"/>
    <col min="2" max="2" width="22" customWidth="1"/>
    <col min="3" max="3" width="72" customWidth="1"/>
    <col min="4" max="4" width="22" customWidth="1"/>
    <col min="5" max="5" width="50" customWidth="1"/>
    <col min="6" max="6" width="78" customWidth="1"/>
    <col min="7" max="7" width="28" customWidth="1"/>
    <col min="8" max="9" width="12" customWidth="1"/>
    <col min="10" max="10" width="14" customWidth="1"/>
  </cols>
  <sheetData>
    <row r="1" spans="1:10" ht="17.399999999999999" x14ac:dyDescent="0.3">
      <c r="A1" s="1" t="s">
        <v>18</v>
      </c>
    </row>
    <row r="2" spans="1:10" x14ac:dyDescent="0.3">
      <c r="A2" s="2" t="s">
        <v>19</v>
      </c>
    </row>
    <row r="4" spans="1:10" ht="30" customHeight="1" x14ac:dyDescent="0.3">
      <c r="A4" s="5" t="s">
        <v>20</v>
      </c>
      <c r="B4" s="5" t="s">
        <v>21</v>
      </c>
      <c r="C4" s="5" t="s">
        <v>22</v>
      </c>
      <c r="D4" s="5" t="s">
        <v>23</v>
      </c>
      <c r="E4" s="5" t="s">
        <v>24</v>
      </c>
      <c r="F4" s="5" t="s">
        <v>25</v>
      </c>
      <c r="G4" s="5" t="s">
        <v>26</v>
      </c>
      <c r="H4" s="5" t="s">
        <v>27</v>
      </c>
      <c r="I4" s="5" t="s">
        <v>28</v>
      </c>
      <c r="J4" s="5" t="s">
        <v>29</v>
      </c>
    </row>
    <row r="5" spans="1:10" ht="96" customHeight="1" x14ac:dyDescent="0.3">
      <c r="A5" s="6" t="s">
        <v>30</v>
      </c>
      <c r="B5" s="7" t="s">
        <v>31</v>
      </c>
      <c r="C5" s="7" t="s">
        <v>32</v>
      </c>
      <c r="D5" s="7" t="s">
        <v>33</v>
      </c>
      <c r="E5" s="7" t="s">
        <v>34</v>
      </c>
      <c r="F5" s="7" t="s">
        <v>35</v>
      </c>
      <c r="G5" s="7" t="s">
        <v>36</v>
      </c>
      <c r="H5" s="8" t="s">
        <v>37</v>
      </c>
      <c r="I5" s="9">
        <f>Criticidad!I5</f>
        <v>2.6</v>
      </c>
      <c r="J5" s="8" t="s">
        <v>38</v>
      </c>
    </row>
    <row r="6" spans="1:10" ht="96" customHeight="1" x14ac:dyDescent="0.3">
      <c r="A6" s="6" t="s">
        <v>39</v>
      </c>
      <c r="B6" s="7" t="s">
        <v>31</v>
      </c>
      <c r="C6" s="7" t="s">
        <v>40</v>
      </c>
      <c r="D6" s="7" t="s">
        <v>33</v>
      </c>
      <c r="E6" s="7" t="s">
        <v>41</v>
      </c>
      <c r="F6" s="7" t="s">
        <v>42</v>
      </c>
      <c r="G6" s="7" t="s">
        <v>43</v>
      </c>
      <c r="H6" s="8" t="s">
        <v>37</v>
      </c>
      <c r="I6" s="9">
        <f>Criticidad!I6</f>
        <v>2.65</v>
      </c>
      <c r="J6" s="8" t="s">
        <v>38</v>
      </c>
    </row>
    <row r="7" spans="1:10" ht="96" customHeight="1" x14ac:dyDescent="0.3">
      <c r="A7" s="6" t="s">
        <v>44</v>
      </c>
      <c r="B7" s="7" t="s">
        <v>45</v>
      </c>
      <c r="C7" s="7" t="s">
        <v>46</v>
      </c>
      <c r="D7" s="7" t="s">
        <v>47</v>
      </c>
      <c r="E7" s="7" t="s">
        <v>48</v>
      </c>
      <c r="F7" s="7" t="s">
        <v>49</v>
      </c>
      <c r="G7" s="7" t="s">
        <v>50</v>
      </c>
      <c r="H7" s="8" t="s">
        <v>37</v>
      </c>
      <c r="I7" s="9">
        <f>Criticidad!I7</f>
        <v>3</v>
      </c>
      <c r="J7" s="8" t="s">
        <v>38</v>
      </c>
    </row>
    <row r="8" spans="1:10" ht="96" customHeight="1" x14ac:dyDescent="0.3">
      <c r="A8" s="10" t="s">
        <v>51</v>
      </c>
      <c r="B8" s="11" t="s">
        <v>45</v>
      </c>
      <c r="C8" s="11" t="s">
        <v>52</v>
      </c>
      <c r="D8" s="11" t="s">
        <v>53</v>
      </c>
      <c r="E8" s="11" t="s">
        <v>54</v>
      </c>
      <c r="F8" s="11" t="s">
        <v>55</v>
      </c>
      <c r="G8" s="11" t="s">
        <v>56</v>
      </c>
      <c r="H8" s="12" t="s">
        <v>57</v>
      </c>
      <c r="I8" s="13">
        <f>Criticidad!I8</f>
        <v>1.95</v>
      </c>
      <c r="J8" s="12" t="s">
        <v>58</v>
      </c>
    </row>
    <row r="9" spans="1:10" ht="96" customHeight="1" x14ac:dyDescent="0.3">
      <c r="A9" s="6" t="s">
        <v>59</v>
      </c>
      <c r="B9" s="7" t="s">
        <v>60</v>
      </c>
      <c r="C9" s="7" t="s">
        <v>61</v>
      </c>
      <c r="D9" s="7" t="s">
        <v>33</v>
      </c>
      <c r="E9" s="7" t="s">
        <v>62</v>
      </c>
      <c r="F9" s="7" t="s">
        <v>63</v>
      </c>
      <c r="G9" s="7" t="s">
        <v>43</v>
      </c>
      <c r="H9" s="8" t="s">
        <v>37</v>
      </c>
      <c r="I9" s="9">
        <f>Criticidad!I9</f>
        <v>2.75</v>
      </c>
      <c r="J9" s="8" t="s">
        <v>38</v>
      </c>
    </row>
    <row r="10" spans="1:10" ht="96" customHeight="1" x14ac:dyDescent="0.3">
      <c r="A10" s="6" t="s">
        <v>64</v>
      </c>
      <c r="B10" s="7" t="s">
        <v>60</v>
      </c>
      <c r="C10" s="7" t="s">
        <v>65</v>
      </c>
      <c r="D10" s="7" t="s">
        <v>66</v>
      </c>
      <c r="E10" s="7" t="s">
        <v>67</v>
      </c>
      <c r="F10" s="7" t="s">
        <v>68</v>
      </c>
      <c r="G10" s="7" t="s">
        <v>36</v>
      </c>
      <c r="H10" s="8" t="s">
        <v>37</v>
      </c>
      <c r="I10" s="9">
        <f>Criticidad!I10</f>
        <v>2.35</v>
      </c>
      <c r="J10" s="8" t="s">
        <v>38</v>
      </c>
    </row>
    <row r="11" spans="1:10" ht="96" customHeight="1" x14ac:dyDescent="0.3">
      <c r="A11" s="6" t="s">
        <v>69</v>
      </c>
      <c r="B11" s="7" t="s">
        <v>70</v>
      </c>
      <c r="C11" s="7" t="s">
        <v>71</v>
      </c>
      <c r="D11" s="7" t="s">
        <v>53</v>
      </c>
      <c r="E11" s="7" t="s">
        <v>72</v>
      </c>
      <c r="F11" s="7" t="s">
        <v>73</v>
      </c>
      <c r="G11" s="7" t="s">
        <v>36</v>
      </c>
      <c r="H11" s="8" t="s">
        <v>37</v>
      </c>
      <c r="I11" s="9">
        <f>Criticidad!I11</f>
        <v>2.65</v>
      </c>
      <c r="J11" s="8" t="s">
        <v>38</v>
      </c>
    </row>
    <row r="12" spans="1:10" ht="96" customHeight="1" x14ac:dyDescent="0.3">
      <c r="A12" s="6" t="s">
        <v>74</v>
      </c>
      <c r="B12" s="7" t="s">
        <v>70</v>
      </c>
      <c r="C12" s="7" t="s">
        <v>75</v>
      </c>
      <c r="D12" s="7" t="s">
        <v>53</v>
      </c>
      <c r="E12" s="7" t="s">
        <v>76</v>
      </c>
      <c r="F12" s="7" t="s">
        <v>77</v>
      </c>
      <c r="G12" s="7" t="s">
        <v>36</v>
      </c>
      <c r="H12" s="8" t="s">
        <v>37</v>
      </c>
      <c r="I12" s="9">
        <f>Criticidad!I12</f>
        <v>2.6000000000000005</v>
      </c>
      <c r="J12" s="8" t="s">
        <v>38</v>
      </c>
    </row>
    <row r="13" spans="1:10" ht="96" customHeight="1" x14ac:dyDescent="0.3">
      <c r="A13" s="6" t="s">
        <v>78</v>
      </c>
      <c r="B13" s="7" t="s">
        <v>79</v>
      </c>
      <c r="C13" s="7" t="s">
        <v>80</v>
      </c>
      <c r="D13" s="7" t="s">
        <v>53</v>
      </c>
      <c r="E13" s="7" t="s">
        <v>81</v>
      </c>
      <c r="F13" s="7" t="s">
        <v>82</v>
      </c>
      <c r="G13" s="7" t="s">
        <v>36</v>
      </c>
      <c r="H13" s="8" t="s">
        <v>37</v>
      </c>
      <c r="I13" s="9">
        <f>Criticidad!I13</f>
        <v>2.4500000000000002</v>
      </c>
      <c r="J13" s="8" t="s">
        <v>38</v>
      </c>
    </row>
    <row r="14" spans="1:10" ht="96" customHeight="1" x14ac:dyDescent="0.3">
      <c r="A14" s="6" t="s">
        <v>83</v>
      </c>
      <c r="B14" s="7" t="s">
        <v>79</v>
      </c>
      <c r="C14" s="7" t="s">
        <v>84</v>
      </c>
      <c r="D14" s="7" t="s">
        <v>85</v>
      </c>
      <c r="E14" s="7" t="s">
        <v>86</v>
      </c>
      <c r="F14" s="7" t="s">
        <v>87</v>
      </c>
      <c r="G14" s="7" t="s">
        <v>43</v>
      </c>
      <c r="H14" s="8" t="s">
        <v>37</v>
      </c>
      <c r="I14" s="9">
        <f>Criticidad!I14</f>
        <v>2.0499999999999998</v>
      </c>
      <c r="J14" s="8" t="s">
        <v>38</v>
      </c>
    </row>
    <row r="15" spans="1:10" ht="96" customHeight="1" x14ac:dyDescent="0.3">
      <c r="A15" s="6" t="s">
        <v>88</v>
      </c>
      <c r="B15" s="7" t="s">
        <v>70</v>
      </c>
      <c r="C15" s="7" t="s">
        <v>89</v>
      </c>
      <c r="D15" s="7" t="s">
        <v>53</v>
      </c>
      <c r="E15" s="7" t="s">
        <v>90</v>
      </c>
      <c r="F15" s="7" t="s">
        <v>91</v>
      </c>
      <c r="G15" s="7" t="s">
        <v>36</v>
      </c>
      <c r="H15" s="8" t="s">
        <v>37</v>
      </c>
      <c r="I15" s="9">
        <f>Criticidad!I15</f>
        <v>2.25</v>
      </c>
      <c r="J15" s="8" t="s">
        <v>38</v>
      </c>
    </row>
    <row r="16" spans="1:10" ht="96" customHeight="1" x14ac:dyDescent="0.3">
      <c r="A16" s="6" t="s">
        <v>92</v>
      </c>
      <c r="B16" s="7" t="s">
        <v>93</v>
      </c>
      <c r="C16" s="7" t="s">
        <v>94</v>
      </c>
      <c r="D16" s="7" t="s">
        <v>53</v>
      </c>
      <c r="E16" s="7" t="s">
        <v>95</v>
      </c>
      <c r="F16" s="7" t="s">
        <v>96</v>
      </c>
      <c r="G16" s="7" t="s">
        <v>36</v>
      </c>
      <c r="H16" s="8" t="s">
        <v>37</v>
      </c>
      <c r="I16" s="9">
        <f>Criticidad!I16</f>
        <v>2.4500000000000002</v>
      </c>
      <c r="J16" s="8" t="s">
        <v>38</v>
      </c>
    </row>
    <row r="17" spans="1:10" ht="96" customHeight="1" x14ac:dyDescent="0.3">
      <c r="A17" s="6" t="s">
        <v>97</v>
      </c>
      <c r="B17" s="7" t="s">
        <v>98</v>
      </c>
      <c r="C17" s="7" t="s">
        <v>99</v>
      </c>
      <c r="D17" s="7" t="s">
        <v>100</v>
      </c>
      <c r="E17" s="7" t="s">
        <v>101</v>
      </c>
      <c r="F17" s="7" t="s">
        <v>102</v>
      </c>
      <c r="G17" s="7" t="s">
        <v>36</v>
      </c>
      <c r="H17" s="8" t="s">
        <v>37</v>
      </c>
      <c r="I17" s="9">
        <f>Criticidad!I17</f>
        <v>2.4</v>
      </c>
      <c r="J17" s="8" t="s">
        <v>38</v>
      </c>
    </row>
    <row r="18" spans="1:10" ht="96" customHeight="1" x14ac:dyDescent="0.3">
      <c r="A18" s="6" t="s">
        <v>103</v>
      </c>
      <c r="B18" s="7" t="s">
        <v>104</v>
      </c>
      <c r="C18" s="7" t="s">
        <v>105</v>
      </c>
      <c r="D18" s="7" t="s">
        <v>53</v>
      </c>
      <c r="E18" s="7" t="s">
        <v>106</v>
      </c>
      <c r="F18" s="7" t="s">
        <v>107</v>
      </c>
      <c r="G18" s="7" t="s">
        <v>36</v>
      </c>
      <c r="H18" s="8" t="s">
        <v>37</v>
      </c>
      <c r="I18" s="9">
        <f>Criticidad!I18</f>
        <v>1.9</v>
      </c>
      <c r="J18" s="8" t="s">
        <v>38</v>
      </c>
    </row>
    <row r="19" spans="1:10" ht="96" customHeight="1" x14ac:dyDescent="0.3">
      <c r="A19" s="6" t="s">
        <v>108</v>
      </c>
      <c r="B19" s="7" t="s">
        <v>109</v>
      </c>
      <c r="C19" s="7" t="s">
        <v>110</v>
      </c>
      <c r="D19" s="7" t="s">
        <v>66</v>
      </c>
      <c r="E19" s="7" t="s">
        <v>111</v>
      </c>
      <c r="F19" s="7" t="s">
        <v>112</v>
      </c>
      <c r="G19" s="7" t="s">
        <v>36</v>
      </c>
      <c r="H19" s="8" t="s">
        <v>37</v>
      </c>
      <c r="I19" s="9">
        <f>Criticidad!I19</f>
        <v>2.1500000000000004</v>
      </c>
      <c r="J19" s="8" t="s">
        <v>38</v>
      </c>
    </row>
    <row r="20" spans="1:10" ht="96" customHeight="1" x14ac:dyDescent="0.3">
      <c r="A20" s="10" t="s">
        <v>113</v>
      </c>
      <c r="B20" s="11" t="s">
        <v>109</v>
      </c>
      <c r="C20" s="11" t="s">
        <v>114</v>
      </c>
      <c r="D20" s="11" t="s">
        <v>33</v>
      </c>
      <c r="E20" s="11" t="s">
        <v>115</v>
      </c>
      <c r="F20" s="11" t="s">
        <v>116</v>
      </c>
      <c r="G20" s="11" t="s">
        <v>117</v>
      </c>
      <c r="H20" s="12" t="s">
        <v>37</v>
      </c>
      <c r="I20" s="13">
        <f>Criticidad!I20</f>
        <v>2.1</v>
      </c>
      <c r="J20" s="12" t="s">
        <v>58</v>
      </c>
    </row>
    <row r="21" spans="1:10" ht="96" customHeight="1" x14ac:dyDescent="0.3">
      <c r="A21" s="6" t="s">
        <v>118</v>
      </c>
      <c r="B21" s="7" t="s">
        <v>119</v>
      </c>
      <c r="C21" s="7" t="s">
        <v>120</v>
      </c>
      <c r="D21" s="7" t="s">
        <v>100</v>
      </c>
      <c r="E21" s="7" t="s">
        <v>121</v>
      </c>
      <c r="F21" s="7" t="s">
        <v>122</v>
      </c>
      <c r="G21" s="7" t="s">
        <v>36</v>
      </c>
      <c r="H21" s="8" t="s">
        <v>37</v>
      </c>
      <c r="I21" s="9">
        <f>Criticidad!I21</f>
        <v>1.8</v>
      </c>
      <c r="J21" s="8" t="s">
        <v>38</v>
      </c>
    </row>
    <row r="22" spans="1:10" ht="96" customHeight="1" x14ac:dyDescent="0.3">
      <c r="A22" s="6" t="s">
        <v>123</v>
      </c>
      <c r="B22" s="7" t="s">
        <v>119</v>
      </c>
      <c r="C22" s="7" t="s">
        <v>124</v>
      </c>
      <c r="D22" s="7" t="s">
        <v>66</v>
      </c>
      <c r="E22" s="7" t="s">
        <v>125</v>
      </c>
      <c r="F22" s="7" t="s">
        <v>126</v>
      </c>
      <c r="G22" s="7" t="s">
        <v>43</v>
      </c>
      <c r="H22" s="8" t="s">
        <v>37</v>
      </c>
      <c r="I22" s="9">
        <f>Criticidad!I22</f>
        <v>2</v>
      </c>
      <c r="J22" s="8" t="s">
        <v>38</v>
      </c>
    </row>
    <row r="23" spans="1:10" ht="96" customHeight="1" x14ac:dyDescent="0.3">
      <c r="A23" s="6" t="s">
        <v>127</v>
      </c>
      <c r="B23" s="7" t="s">
        <v>119</v>
      </c>
      <c r="C23" s="7" t="s">
        <v>128</v>
      </c>
      <c r="D23" s="7" t="s">
        <v>100</v>
      </c>
      <c r="E23" s="7" t="s">
        <v>129</v>
      </c>
      <c r="F23" s="7" t="s">
        <v>130</v>
      </c>
      <c r="G23" s="7" t="s">
        <v>36</v>
      </c>
      <c r="H23" s="8" t="s">
        <v>57</v>
      </c>
      <c r="I23" s="9">
        <f>Criticidad!I23</f>
        <v>1.4000000000000001</v>
      </c>
      <c r="J23" s="8" t="s">
        <v>38</v>
      </c>
    </row>
    <row r="24" spans="1:10" ht="96" customHeight="1" x14ac:dyDescent="0.3">
      <c r="A24" s="14" t="s">
        <v>131</v>
      </c>
      <c r="B24" s="15" t="s">
        <v>132</v>
      </c>
      <c r="C24" s="15" t="s">
        <v>133</v>
      </c>
      <c r="D24" s="15" t="s">
        <v>33</v>
      </c>
      <c r="E24" s="15" t="s">
        <v>134</v>
      </c>
      <c r="F24" s="15" t="s">
        <v>135</v>
      </c>
      <c r="G24" s="15" t="s">
        <v>136</v>
      </c>
      <c r="H24" s="16" t="s">
        <v>137</v>
      </c>
      <c r="I24" s="17">
        <f>Criticidad!I24</f>
        <v>1.95</v>
      </c>
      <c r="J24" s="16" t="s">
        <v>138</v>
      </c>
    </row>
  </sheetData>
  <autoFilter ref="A4:J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showGridLines="0" workbookViewId="0">
      <pane ySplit="4" topLeftCell="A5" activePane="bottomLeft" state="frozen"/>
      <selection pane="bottomLeft"/>
    </sheetView>
  </sheetViews>
  <sheetFormatPr baseColWidth="10" defaultColWidth="8.88671875" defaultRowHeight="14.4" x14ac:dyDescent="0.3"/>
  <cols>
    <col min="1" max="1" width="10" customWidth="1"/>
    <col min="2" max="3" width="70" customWidth="1"/>
    <col min="4" max="4" width="55" customWidth="1"/>
    <col min="5" max="5" width="65" customWidth="1"/>
    <col min="6" max="6" width="28" customWidth="1"/>
  </cols>
  <sheetData>
    <row r="1" spans="1:6" ht="17.399999999999999" x14ac:dyDescent="0.3">
      <c r="A1" s="1" t="s">
        <v>139</v>
      </c>
    </row>
    <row r="2" spans="1:6" x14ac:dyDescent="0.3">
      <c r="A2" s="2" t="s">
        <v>140</v>
      </c>
    </row>
    <row r="4" spans="1:6" ht="30" customHeight="1" x14ac:dyDescent="0.3">
      <c r="A4" s="18" t="s">
        <v>20</v>
      </c>
      <c r="B4" s="18" t="s">
        <v>141</v>
      </c>
      <c r="C4" s="18" t="s">
        <v>142</v>
      </c>
      <c r="D4" s="18" t="s">
        <v>143</v>
      </c>
      <c r="E4" s="18" t="s">
        <v>144</v>
      </c>
      <c r="F4" s="18" t="s">
        <v>26</v>
      </c>
    </row>
    <row r="5" spans="1:6" ht="100.05" customHeight="1" x14ac:dyDescent="0.3">
      <c r="A5" s="6" t="s">
        <v>30</v>
      </c>
      <c r="B5" s="19" t="s">
        <v>145</v>
      </c>
      <c r="C5" s="7" t="s">
        <v>146</v>
      </c>
      <c r="D5" s="7" t="s">
        <v>34</v>
      </c>
      <c r="E5" s="7" t="s">
        <v>32</v>
      </c>
      <c r="F5" s="7" t="s">
        <v>36</v>
      </c>
    </row>
    <row r="6" spans="1:6" ht="100.05" customHeight="1" x14ac:dyDescent="0.3">
      <c r="A6" s="6" t="s">
        <v>39</v>
      </c>
      <c r="B6" s="19" t="s">
        <v>147</v>
      </c>
      <c r="C6" s="7" t="s">
        <v>148</v>
      </c>
      <c r="D6" s="7" t="s">
        <v>41</v>
      </c>
      <c r="E6" s="7" t="s">
        <v>40</v>
      </c>
      <c r="F6" s="7" t="s">
        <v>43</v>
      </c>
    </row>
    <row r="7" spans="1:6" ht="100.05" customHeight="1" x14ac:dyDescent="0.3">
      <c r="A7" s="6" t="s">
        <v>44</v>
      </c>
      <c r="B7" s="19" t="s">
        <v>149</v>
      </c>
      <c r="C7" s="7" t="s">
        <v>150</v>
      </c>
      <c r="D7" s="7" t="s">
        <v>48</v>
      </c>
      <c r="E7" s="7" t="s">
        <v>46</v>
      </c>
      <c r="F7" s="7" t="s">
        <v>50</v>
      </c>
    </row>
    <row r="8" spans="1:6" ht="100.05" customHeight="1" x14ac:dyDescent="0.3">
      <c r="A8" s="10" t="s">
        <v>51</v>
      </c>
      <c r="B8" s="20" t="s">
        <v>151</v>
      </c>
      <c r="C8" s="11" t="s">
        <v>152</v>
      </c>
      <c r="D8" s="11" t="s">
        <v>54</v>
      </c>
      <c r="E8" s="11" t="s">
        <v>52</v>
      </c>
      <c r="F8" s="11" t="s">
        <v>56</v>
      </c>
    </row>
    <row r="9" spans="1:6" ht="100.05" customHeight="1" x14ac:dyDescent="0.3">
      <c r="A9" s="6" t="s">
        <v>59</v>
      </c>
      <c r="B9" s="19" t="s">
        <v>153</v>
      </c>
      <c r="C9" s="7" t="s">
        <v>154</v>
      </c>
      <c r="D9" s="7" t="s">
        <v>62</v>
      </c>
      <c r="E9" s="7" t="s">
        <v>61</v>
      </c>
      <c r="F9" s="7" t="s">
        <v>43</v>
      </c>
    </row>
    <row r="10" spans="1:6" ht="100.05" customHeight="1" x14ac:dyDescent="0.3">
      <c r="A10" s="6" t="s">
        <v>64</v>
      </c>
      <c r="B10" s="19" t="s">
        <v>155</v>
      </c>
      <c r="C10" s="7" t="s">
        <v>156</v>
      </c>
      <c r="D10" s="7" t="s">
        <v>67</v>
      </c>
      <c r="E10" s="7" t="s">
        <v>65</v>
      </c>
      <c r="F10" s="7" t="s">
        <v>36</v>
      </c>
    </row>
    <row r="11" spans="1:6" ht="100.05" customHeight="1" x14ac:dyDescent="0.3">
      <c r="A11" s="6" t="s">
        <v>69</v>
      </c>
      <c r="B11" s="19" t="s">
        <v>157</v>
      </c>
      <c r="C11" s="7" t="s">
        <v>158</v>
      </c>
      <c r="D11" s="7" t="s">
        <v>72</v>
      </c>
      <c r="E11" s="7" t="s">
        <v>71</v>
      </c>
      <c r="F11" s="7" t="s">
        <v>36</v>
      </c>
    </row>
    <row r="12" spans="1:6" ht="100.05" customHeight="1" x14ac:dyDescent="0.3">
      <c r="A12" s="6" t="s">
        <v>74</v>
      </c>
      <c r="B12" s="19" t="s">
        <v>159</v>
      </c>
      <c r="C12" s="7" t="s">
        <v>160</v>
      </c>
      <c r="D12" s="7" t="s">
        <v>76</v>
      </c>
      <c r="E12" s="7" t="s">
        <v>75</v>
      </c>
      <c r="F12" s="7" t="s">
        <v>36</v>
      </c>
    </row>
    <row r="13" spans="1:6" ht="100.05" customHeight="1" x14ac:dyDescent="0.3">
      <c r="A13" s="6" t="s">
        <v>78</v>
      </c>
      <c r="B13" s="19" t="s">
        <v>161</v>
      </c>
      <c r="C13" s="7" t="s">
        <v>162</v>
      </c>
      <c r="D13" s="7" t="s">
        <v>81</v>
      </c>
      <c r="E13" s="7" t="s">
        <v>80</v>
      </c>
      <c r="F13" s="7" t="s">
        <v>36</v>
      </c>
    </row>
    <row r="14" spans="1:6" ht="100.05" customHeight="1" x14ac:dyDescent="0.3">
      <c r="A14" s="6" t="s">
        <v>83</v>
      </c>
      <c r="B14" s="19" t="s">
        <v>163</v>
      </c>
      <c r="C14" s="7" t="s">
        <v>164</v>
      </c>
      <c r="D14" s="7" t="s">
        <v>86</v>
      </c>
      <c r="E14" s="7" t="s">
        <v>84</v>
      </c>
      <c r="F14" s="7" t="s">
        <v>43</v>
      </c>
    </row>
    <row r="15" spans="1:6" ht="100.05" customHeight="1" x14ac:dyDescent="0.3">
      <c r="A15" s="6" t="s">
        <v>88</v>
      </c>
      <c r="B15" s="19" t="s">
        <v>165</v>
      </c>
      <c r="C15" s="7" t="s">
        <v>166</v>
      </c>
      <c r="D15" s="7" t="s">
        <v>90</v>
      </c>
      <c r="E15" s="7" t="s">
        <v>89</v>
      </c>
      <c r="F15" s="7" t="s">
        <v>36</v>
      </c>
    </row>
    <row r="16" spans="1:6" ht="100.05" customHeight="1" x14ac:dyDescent="0.3">
      <c r="A16" s="6" t="s">
        <v>92</v>
      </c>
      <c r="B16" s="19" t="s">
        <v>167</v>
      </c>
      <c r="C16" s="7" t="s">
        <v>168</v>
      </c>
      <c r="D16" s="7" t="s">
        <v>95</v>
      </c>
      <c r="E16" s="7" t="s">
        <v>94</v>
      </c>
      <c r="F16" s="7" t="s">
        <v>36</v>
      </c>
    </row>
    <row r="17" spans="1:6" ht="100.05" customHeight="1" x14ac:dyDescent="0.3">
      <c r="A17" s="6" t="s">
        <v>97</v>
      </c>
      <c r="B17" s="19" t="s">
        <v>169</v>
      </c>
      <c r="C17" s="7" t="s">
        <v>170</v>
      </c>
      <c r="D17" s="7" t="s">
        <v>101</v>
      </c>
      <c r="E17" s="7" t="s">
        <v>99</v>
      </c>
      <c r="F17" s="7" t="s">
        <v>36</v>
      </c>
    </row>
    <row r="18" spans="1:6" ht="100.05" customHeight="1" x14ac:dyDescent="0.3">
      <c r="A18" s="6" t="s">
        <v>103</v>
      </c>
      <c r="B18" s="19" t="s">
        <v>171</v>
      </c>
      <c r="C18" s="7" t="s">
        <v>172</v>
      </c>
      <c r="D18" s="7" t="s">
        <v>106</v>
      </c>
      <c r="E18" s="7" t="s">
        <v>105</v>
      </c>
      <c r="F18" s="7" t="s">
        <v>36</v>
      </c>
    </row>
    <row r="19" spans="1:6" ht="100.05" customHeight="1" x14ac:dyDescent="0.3">
      <c r="A19" s="6" t="s">
        <v>108</v>
      </c>
      <c r="B19" s="19" t="s">
        <v>173</v>
      </c>
      <c r="C19" s="7" t="s">
        <v>174</v>
      </c>
      <c r="D19" s="7" t="s">
        <v>111</v>
      </c>
      <c r="E19" s="7" t="s">
        <v>110</v>
      </c>
      <c r="F19" s="7" t="s">
        <v>36</v>
      </c>
    </row>
    <row r="20" spans="1:6" ht="100.05" customHeight="1" x14ac:dyDescent="0.3">
      <c r="A20" s="10" t="s">
        <v>113</v>
      </c>
      <c r="B20" s="20" t="s">
        <v>175</v>
      </c>
      <c r="C20" s="11" t="s">
        <v>176</v>
      </c>
      <c r="D20" s="11" t="s">
        <v>115</v>
      </c>
      <c r="E20" s="11" t="s">
        <v>114</v>
      </c>
      <c r="F20" s="11" t="s">
        <v>117</v>
      </c>
    </row>
    <row r="21" spans="1:6" ht="100.05" customHeight="1" x14ac:dyDescent="0.3">
      <c r="A21" s="6" t="s">
        <v>118</v>
      </c>
      <c r="B21" s="19" t="s">
        <v>177</v>
      </c>
      <c r="C21" s="7" t="s">
        <v>178</v>
      </c>
      <c r="D21" s="7" t="s">
        <v>121</v>
      </c>
      <c r="E21" s="7" t="s">
        <v>120</v>
      </c>
      <c r="F21" s="7" t="s">
        <v>36</v>
      </c>
    </row>
    <row r="22" spans="1:6" ht="100.05" customHeight="1" x14ac:dyDescent="0.3">
      <c r="A22" s="6" t="s">
        <v>123</v>
      </c>
      <c r="B22" s="19" t="s">
        <v>179</v>
      </c>
      <c r="C22" s="7" t="s">
        <v>180</v>
      </c>
      <c r="D22" s="7" t="s">
        <v>125</v>
      </c>
      <c r="E22" s="7" t="s">
        <v>124</v>
      </c>
      <c r="F22" s="7" t="s">
        <v>43</v>
      </c>
    </row>
    <row r="23" spans="1:6" ht="100.05" customHeight="1" x14ac:dyDescent="0.3">
      <c r="A23" s="6" t="s">
        <v>127</v>
      </c>
      <c r="B23" s="19" t="s">
        <v>181</v>
      </c>
      <c r="C23" s="7" t="s">
        <v>182</v>
      </c>
      <c r="D23" s="7" t="s">
        <v>129</v>
      </c>
      <c r="E23" s="7" t="s">
        <v>128</v>
      </c>
      <c r="F23" s="7" t="s">
        <v>36</v>
      </c>
    </row>
    <row r="24" spans="1:6" ht="100.05" customHeight="1" x14ac:dyDescent="0.3">
      <c r="A24" s="14" t="s">
        <v>131</v>
      </c>
      <c r="B24" s="21" t="s">
        <v>183</v>
      </c>
      <c r="C24" s="15" t="s">
        <v>184</v>
      </c>
      <c r="D24" s="15" t="s">
        <v>134</v>
      </c>
      <c r="E24" s="15" t="s">
        <v>133</v>
      </c>
      <c r="F24" s="15" t="s">
        <v>136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
  <sheetViews>
    <sheetView showGridLines="0" workbookViewId="0">
      <pane ySplit="4" topLeftCell="A5" activePane="bottomLeft" state="frozen"/>
      <selection pane="bottomLeft"/>
    </sheetView>
  </sheetViews>
  <sheetFormatPr baseColWidth="10" defaultColWidth="8.88671875" defaultRowHeight="14.4" x14ac:dyDescent="0.3"/>
  <cols>
    <col min="1" max="1" width="10" customWidth="1"/>
    <col min="2" max="2" width="22" customWidth="1"/>
    <col min="3" max="3" width="58" customWidth="1"/>
    <col min="4" max="4" width="10" customWidth="1"/>
    <col min="5" max="9" width="13" customWidth="1"/>
    <col min="10" max="10" width="14" customWidth="1"/>
  </cols>
  <sheetData>
    <row r="1" spans="1:10" ht="17.399999999999999" x14ac:dyDescent="0.3">
      <c r="A1" s="1" t="s">
        <v>185</v>
      </c>
    </row>
    <row r="2" spans="1:10" x14ac:dyDescent="0.3">
      <c r="A2" s="2" t="s">
        <v>186</v>
      </c>
    </row>
    <row r="3" spans="1:10" x14ac:dyDescent="0.3">
      <c r="A3" s="22" t="s">
        <v>187</v>
      </c>
      <c r="E3" s="23">
        <v>0.4</v>
      </c>
      <c r="F3" s="23">
        <v>0.2</v>
      </c>
      <c r="G3" s="23">
        <v>0.25</v>
      </c>
      <c r="H3" s="23">
        <v>0.15</v>
      </c>
      <c r="I3" s="24">
        <f>SUM(E3:H3)</f>
        <v>1</v>
      </c>
      <c r="J3" s="2" t="s">
        <v>188</v>
      </c>
    </row>
    <row r="4" spans="1:10" ht="30" customHeight="1" x14ac:dyDescent="0.3">
      <c r="A4" s="5" t="s">
        <v>20</v>
      </c>
      <c r="B4" s="5" t="s">
        <v>21</v>
      </c>
      <c r="C4" s="5" t="s">
        <v>189</v>
      </c>
      <c r="D4" s="5" t="s">
        <v>190</v>
      </c>
      <c r="E4" s="5" t="s">
        <v>191</v>
      </c>
      <c r="F4" s="5" t="s">
        <v>192</v>
      </c>
      <c r="G4" s="5" t="s">
        <v>193</v>
      </c>
      <c r="H4" s="5" t="s">
        <v>194</v>
      </c>
      <c r="I4" s="5" t="s">
        <v>195</v>
      </c>
      <c r="J4" s="5" t="s">
        <v>196</v>
      </c>
    </row>
    <row r="5" spans="1:10" ht="46.05" customHeight="1" x14ac:dyDescent="0.3">
      <c r="A5" s="25" t="s">
        <v>30</v>
      </c>
      <c r="B5" s="4" t="s">
        <v>31</v>
      </c>
      <c r="C5" s="4" t="s">
        <v>197</v>
      </c>
      <c r="D5" s="26" t="s">
        <v>37</v>
      </c>
      <c r="E5" s="26">
        <v>3</v>
      </c>
      <c r="F5" s="26">
        <v>3</v>
      </c>
      <c r="G5" s="26">
        <v>2</v>
      </c>
      <c r="H5" s="26">
        <v>2</v>
      </c>
      <c r="I5" s="27">
        <f t="shared" ref="I5:I24" si="0">SUMPRODUCT(E5:H5,$E$3:$H$3)</f>
        <v>2.6</v>
      </c>
      <c r="J5" s="26" t="str">
        <f t="shared" ref="J5:J24" si="1">IF(I5&gt;=2.5,"Critico alto",IF(I5&gt;=1.8,"Critico","Relevante"))</f>
        <v>Critico alto</v>
      </c>
    </row>
    <row r="6" spans="1:10" ht="46.05" customHeight="1" x14ac:dyDescent="0.3">
      <c r="A6" s="25" t="s">
        <v>39</v>
      </c>
      <c r="B6" s="4" t="s">
        <v>31</v>
      </c>
      <c r="C6" s="4" t="s">
        <v>40</v>
      </c>
      <c r="D6" s="26" t="s">
        <v>37</v>
      </c>
      <c r="E6" s="26">
        <v>3</v>
      </c>
      <c r="F6" s="26">
        <v>2</v>
      </c>
      <c r="G6" s="26">
        <v>3</v>
      </c>
      <c r="H6" s="26">
        <v>2</v>
      </c>
      <c r="I6" s="27">
        <f t="shared" si="0"/>
        <v>2.65</v>
      </c>
      <c r="J6" s="26" t="str">
        <f t="shared" si="1"/>
        <v>Critico alto</v>
      </c>
    </row>
    <row r="7" spans="1:10" ht="46.05" customHeight="1" x14ac:dyDescent="0.3">
      <c r="A7" s="25" t="s">
        <v>44</v>
      </c>
      <c r="B7" s="4" t="s">
        <v>45</v>
      </c>
      <c r="C7" s="4" t="s">
        <v>198</v>
      </c>
      <c r="D7" s="26" t="s">
        <v>37</v>
      </c>
      <c r="E7" s="26">
        <v>3</v>
      </c>
      <c r="F7" s="26">
        <v>3</v>
      </c>
      <c r="G7" s="26">
        <v>3</v>
      </c>
      <c r="H7" s="26">
        <v>3</v>
      </c>
      <c r="I7" s="27">
        <f t="shared" si="0"/>
        <v>3</v>
      </c>
      <c r="J7" s="26" t="str">
        <f t="shared" si="1"/>
        <v>Critico alto</v>
      </c>
    </row>
    <row r="8" spans="1:10" ht="46.05" customHeight="1" x14ac:dyDescent="0.3">
      <c r="A8" s="25" t="s">
        <v>51</v>
      </c>
      <c r="B8" s="4" t="s">
        <v>45</v>
      </c>
      <c r="C8" s="4" t="s">
        <v>199</v>
      </c>
      <c r="D8" s="26" t="s">
        <v>57</v>
      </c>
      <c r="E8" s="26">
        <v>1</v>
      </c>
      <c r="F8" s="26">
        <v>3</v>
      </c>
      <c r="G8" s="26">
        <v>2</v>
      </c>
      <c r="H8" s="26">
        <v>3</v>
      </c>
      <c r="I8" s="27">
        <f t="shared" si="0"/>
        <v>1.95</v>
      </c>
      <c r="J8" s="26" t="str">
        <f t="shared" si="1"/>
        <v>Critico</v>
      </c>
    </row>
    <row r="9" spans="1:10" ht="46.05" customHeight="1" x14ac:dyDescent="0.3">
      <c r="A9" s="25" t="s">
        <v>59</v>
      </c>
      <c r="B9" s="4" t="s">
        <v>60</v>
      </c>
      <c r="C9" s="4" t="s">
        <v>200</v>
      </c>
      <c r="D9" s="26" t="s">
        <v>37</v>
      </c>
      <c r="E9" s="26">
        <v>3</v>
      </c>
      <c r="F9" s="26">
        <v>3</v>
      </c>
      <c r="G9" s="26">
        <v>2</v>
      </c>
      <c r="H9" s="26">
        <v>3</v>
      </c>
      <c r="I9" s="27">
        <f t="shared" si="0"/>
        <v>2.75</v>
      </c>
      <c r="J9" s="26" t="str">
        <f t="shared" si="1"/>
        <v>Critico alto</v>
      </c>
    </row>
    <row r="10" spans="1:10" ht="46.05" customHeight="1" x14ac:dyDescent="0.3">
      <c r="A10" s="25" t="s">
        <v>64</v>
      </c>
      <c r="B10" s="4" t="s">
        <v>60</v>
      </c>
      <c r="C10" s="4" t="s">
        <v>65</v>
      </c>
      <c r="D10" s="26" t="s">
        <v>37</v>
      </c>
      <c r="E10" s="26">
        <v>3</v>
      </c>
      <c r="F10" s="26">
        <v>1</v>
      </c>
      <c r="G10" s="26">
        <v>2</v>
      </c>
      <c r="H10" s="26">
        <v>3</v>
      </c>
      <c r="I10" s="27">
        <f t="shared" si="0"/>
        <v>2.35</v>
      </c>
      <c r="J10" s="26" t="str">
        <f t="shared" si="1"/>
        <v>Critico</v>
      </c>
    </row>
    <row r="11" spans="1:10" ht="46.05" customHeight="1" x14ac:dyDescent="0.3">
      <c r="A11" s="25" t="s">
        <v>69</v>
      </c>
      <c r="B11" s="4" t="s">
        <v>70</v>
      </c>
      <c r="C11" s="4" t="s">
        <v>201</v>
      </c>
      <c r="D11" s="26" t="s">
        <v>37</v>
      </c>
      <c r="E11" s="26">
        <v>3</v>
      </c>
      <c r="F11" s="26">
        <v>2</v>
      </c>
      <c r="G11" s="26">
        <v>3</v>
      </c>
      <c r="H11" s="26">
        <v>2</v>
      </c>
      <c r="I11" s="27">
        <f t="shared" si="0"/>
        <v>2.65</v>
      </c>
      <c r="J11" s="26" t="str">
        <f t="shared" si="1"/>
        <v>Critico alto</v>
      </c>
    </row>
    <row r="12" spans="1:10" ht="46.05" customHeight="1" x14ac:dyDescent="0.3">
      <c r="A12" s="25" t="s">
        <v>74</v>
      </c>
      <c r="B12" s="4" t="s">
        <v>70</v>
      </c>
      <c r="C12" s="4" t="s">
        <v>75</v>
      </c>
      <c r="D12" s="26" t="s">
        <v>37</v>
      </c>
      <c r="E12" s="26">
        <v>3</v>
      </c>
      <c r="F12" s="26">
        <v>1</v>
      </c>
      <c r="G12" s="26">
        <v>3</v>
      </c>
      <c r="H12" s="26">
        <v>3</v>
      </c>
      <c r="I12" s="27">
        <f t="shared" si="0"/>
        <v>2.6000000000000005</v>
      </c>
      <c r="J12" s="26" t="str">
        <f t="shared" si="1"/>
        <v>Critico alto</v>
      </c>
    </row>
    <row r="13" spans="1:10" ht="46.05" customHeight="1" x14ac:dyDescent="0.3">
      <c r="A13" s="25" t="s">
        <v>78</v>
      </c>
      <c r="B13" s="4" t="s">
        <v>79</v>
      </c>
      <c r="C13" s="4" t="s">
        <v>80</v>
      </c>
      <c r="D13" s="26" t="s">
        <v>37</v>
      </c>
      <c r="E13" s="26">
        <v>3</v>
      </c>
      <c r="F13" s="26">
        <v>1</v>
      </c>
      <c r="G13" s="26">
        <v>3</v>
      </c>
      <c r="H13" s="26">
        <v>2</v>
      </c>
      <c r="I13" s="27">
        <f t="shared" si="0"/>
        <v>2.4500000000000002</v>
      </c>
      <c r="J13" s="26" t="str">
        <f t="shared" si="1"/>
        <v>Critico</v>
      </c>
    </row>
    <row r="14" spans="1:10" ht="46.05" customHeight="1" x14ac:dyDescent="0.3">
      <c r="A14" s="25" t="s">
        <v>83</v>
      </c>
      <c r="B14" s="4" t="s">
        <v>79</v>
      </c>
      <c r="C14" s="4" t="s">
        <v>202</v>
      </c>
      <c r="D14" s="26" t="s">
        <v>37</v>
      </c>
      <c r="E14" s="26">
        <v>2</v>
      </c>
      <c r="F14" s="26">
        <v>1</v>
      </c>
      <c r="G14" s="26">
        <v>3</v>
      </c>
      <c r="H14" s="26">
        <v>2</v>
      </c>
      <c r="I14" s="27">
        <f t="shared" si="0"/>
        <v>2.0499999999999998</v>
      </c>
      <c r="J14" s="26" t="str">
        <f t="shared" si="1"/>
        <v>Critico</v>
      </c>
    </row>
    <row r="15" spans="1:10" ht="46.05" customHeight="1" x14ac:dyDescent="0.3">
      <c r="A15" s="25" t="s">
        <v>88</v>
      </c>
      <c r="B15" s="4" t="s">
        <v>70</v>
      </c>
      <c r="C15" s="4" t="s">
        <v>203</v>
      </c>
      <c r="D15" s="26" t="s">
        <v>37</v>
      </c>
      <c r="E15" s="26">
        <v>2</v>
      </c>
      <c r="F15" s="26">
        <v>2</v>
      </c>
      <c r="G15" s="26">
        <v>3</v>
      </c>
      <c r="H15" s="26">
        <v>2</v>
      </c>
      <c r="I15" s="27">
        <f t="shared" si="0"/>
        <v>2.25</v>
      </c>
      <c r="J15" s="26" t="str">
        <f t="shared" si="1"/>
        <v>Critico</v>
      </c>
    </row>
    <row r="16" spans="1:10" ht="46.05" customHeight="1" x14ac:dyDescent="0.3">
      <c r="A16" s="25" t="s">
        <v>92</v>
      </c>
      <c r="B16" s="4" t="s">
        <v>93</v>
      </c>
      <c r="C16" s="4" t="s">
        <v>204</v>
      </c>
      <c r="D16" s="26" t="s">
        <v>37</v>
      </c>
      <c r="E16" s="26">
        <v>3</v>
      </c>
      <c r="F16" s="26">
        <v>1</v>
      </c>
      <c r="G16" s="26">
        <v>3</v>
      </c>
      <c r="H16" s="26">
        <v>2</v>
      </c>
      <c r="I16" s="27">
        <f t="shared" si="0"/>
        <v>2.4500000000000002</v>
      </c>
      <c r="J16" s="26" t="str">
        <f t="shared" si="1"/>
        <v>Critico</v>
      </c>
    </row>
    <row r="17" spans="1:10" ht="46.05" customHeight="1" x14ac:dyDescent="0.3">
      <c r="A17" s="25" t="s">
        <v>97</v>
      </c>
      <c r="B17" s="4" t="s">
        <v>98</v>
      </c>
      <c r="C17" s="4" t="s">
        <v>205</v>
      </c>
      <c r="D17" s="26" t="s">
        <v>37</v>
      </c>
      <c r="E17" s="26">
        <v>3</v>
      </c>
      <c r="F17" s="26">
        <v>2</v>
      </c>
      <c r="G17" s="26">
        <v>2</v>
      </c>
      <c r="H17" s="26">
        <v>2</v>
      </c>
      <c r="I17" s="27">
        <f t="shared" si="0"/>
        <v>2.4</v>
      </c>
      <c r="J17" s="26" t="str">
        <f t="shared" si="1"/>
        <v>Critico</v>
      </c>
    </row>
    <row r="18" spans="1:10" ht="46.05" customHeight="1" x14ac:dyDescent="0.3">
      <c r="A18" s="25" t="s">
        <v>103</v>
      </c>
      <c r="B18" s="4" t="s">
        <v>104</v>
      </c>
      <c r="C18" s="4" t="s">
        <v>105</v>
      </c>
      <c r="D18" s="26" t="s">
        <v>37</v>
      </c>
      <c r="E18" s="26">
        <v>2</v>
      </c>
      <c r="F18" s="26">
        <v>1</v>
      </c>
      <c r="G18" s="26">
        <v>3</v>
      </c>
      <c r="H18" s="26">
        <v>1</v>
      </c>
      <c r="I18" s="27">
        <f t="shared" si="0"/>
        <v>1.9</v>
      </c>
      <c r="J18" s="26" t="str">
        <f t="shared" si="1"/>
        <v>Critico</v>
      </c>
    </row>
    <row r="19" spans="1:10" ht="46.05" customHeight="1" x14ac:dyDescent="0.3">
      <c r="A19" s="25" t="s">
        <v>108</v>
      </c>
      <c r="B19" s="4" t="s">
        <v>109</v>
      </c>
      <c r="C19" s="4" t="s">
        <v>206</v>
      </c>
      <c r="D19" s="26" t="s">
        <v>37</v>
      </c>
      <c r="E19" s="26">
        <v>2</v>
      </c>
      <c r="F19" s="26">
        <v>2</v>
      </c>
      <c r="G19" s="26">
        <v>2</v>
      </c>
      <c r="H19" s="26">
        <v>3</v>
      </c>
      <c r="I19" s="27">
        <f t="shared" si="0"/>
        <v>2.1500000000000004</v>
      </c>
      <c r="J19" s="26" t="str">
        <f t="shared" si="1"/>
        <v>Critico</v>
      </c>
    </row>
    <row r="20" spans="1:10" ht="46.05" customHeight="1" x14ac:dyDescent="0.3">
      <c r="A20" s="25" t="s">
        <v>113</v>
      </c>
      <c r="B20" s="4" t="s">
        <v>109</v>
      </c>
      <c r="C20" s="4" t="s">
        <v>114</v>
      </c>
      <c r="D20" s="26" t="s">
        <v>37</v>
      </c>
      <c r="E20" s="26">
        <v>2</v>
      </c>
      <c r="F20" s="26">
        <v>3</v>
      </c>
      <c r="G20" s="26">
        <v>1</v>
      </c>
      <c r="H20" s="26">
        <v>3</v>
      </c>
      <c r="I20" s="27">
        <f t="shared" si="0"/>
        <v>2.1</v>
      </c>
      <c r="J20" s="26" t="str">
        <f t="shared" si="1"/>
        <v>Critico</v>
      </c>
    </row>
    <row r="21" spans="1:10" ht="46.05" customHeight="1" x14ac:dyDescent="0.3">
      <c r="A21" s="25" t="s">
        <v>118</v>
      </c>
      <c r="B21" s="4" t="s">
        <v>119</v>
      </c>
      <c r="C21" s="4" t="s">
        <v>207</v>
      </c>
      <c r="D21" s="26" t="s">
        <v>37</v>
      </c>
      <c r="E21" s="26">
        <v>2</v>
      </c>
      <c r="F21" s="26">
        <v>1</v>
      </c>
      <c r="G21" s="26">
        <v>2</v>
      </c>
      <c r="H21" s="26">
        <v>2</v>
      </c>
      <c r="I21" s="27">
        <f t="shared" si="0"/>
        <v>1.8</v>
      </c>
      <c r="J21" s="26" t="str">
        <f t="shared" si="1"/>
        <v>Critico</v>
      </c>
    </row>
    <row r="22" spans="1:10" ht="46.05" customHeight="1" x14ac:dyDescent="0.3">
      <c r="A22" s="25" t="s">
        <v>123</v>
      </c>
      <c r="B22" s="4" t="s">
        <v>119</v>
      </c>
      <c r="C22" s="4" t="s">
        <v>208</v>
      </c>
      <c r="D22" s="26" t="s">
        <v>37</v>
      </c>
      <c r="E22" s="26">
        <v>2</v>
      </c>
      <c r="F22" s="26">
        <v>2</v>
      </c>
      <c r="G22" s="26">
        <v>2</v>
      </c>
      <c r="H22" s="26">
        <v>2</v>
      </c>
      <c r="I22" s="27">
        <f t="shared" si="0"/>
        <v>2</v>
      </c>
      <c r="J22" s="26" t="str">
        <f t="shared" si="1"/>
        <v>Critico</v>
      </c>
    </row>
    <row r="23" spans="1:10" ht="46.05" customHeight="1" x14ac:dyDescent="0.3">
      <c r="A23" s="25" t="s">
        <v>127</v>
      </c>
      <c r="B23" s="4" t="s">
        <v>119</v>
      </c>
      <c r="C23" s="4" t="s">
        <v>128</v>
      </c>
      <c r="D23" s="26" t="s">
        <v>57</v>
      </c>
      <c r="E23" s="26">
        <v>1</v>
      </c>
      <c r="F23" s="26">
        <v>1</v>
      </c>
      <c r="G23" s="26">
        <v>2</v>
      </c>
      <c r="H23" s="26">
        <v>2</v>
      </c>
      <c r="I23" s="27">
        <f t="shared" si="0"/>
        <v>1.4000000000000001</v>
      </c>
      <c r="J23" s="26" t="str">
        <f t="shared" si="1"/>
        <v>Relevante</v>
      </c>
    </row>
    <row r="24" spans="1:10" ht="46.05" customHeight="1" x14ac:dyDescent="0.3">
      <c r="A24" s="25" t="s">
        <v>131</v>
      </c>
      <c r="B24" s="4" t="s">
        <v>132</v>
      </c>
      <c r="C24" s="4" t="s">
        <v>209</v>
      </c>
      <c r="D24" s="26" t="s">
        <v>137</v>
      </c>
      <c r="E24" s="26">
        <v>1</v>
      </c>
      <c r="F24" s="26">
        <v>3</v>
      </c>
      <c r="G24" s="26">
        <v>2</v>
      </c>
      <c r="H24" s="26">
        <v>3</v>
      </c>
      <c r="I24" s="27">
        <f t="shared" si="0"/>
        <v>1.95</v>
      </c>
      <c r="J24" s="26" t="str">
        <f t="shared" si="1"/>
        <v>Critico</v>
      </c>
    </row>
    <row r="26" spans="1:10" ht="17.399999999999999" x14ac:dyDescent="0.3">
      <c r="B26" s="1" t="s">
        <v>210</v>
      </c>
    </row>
    <row r="27" spans="1:10" x14ac:dyDescent="0.3">
      <c r="B27" s="28" t="s">
        <v>211</v>
      </c>
      <c r="C27" s="25">
        <f>COUNTA(A5:A24)</f>
        <v>20</v>
      </c>
    </row>
    <row r="28" spans="1:10" x14ac:dyDescent="0.3">
      <c r="B28" s="28" t="s">
        <v>212</v>
      </c>
      <c r="C28" s="25">
        <f>COUNTIF(J5:J24,"Critico alto")</f>
        <v>6</v>
      </c>
    </row>
    <row r="29" spans="1:10" x14ac:dyDescent="0.3">
      <c r="B29" s="28" t="s">
        <v>213</v>
      </c>
      <c r="C29" s="25">
        <f>COUNTIF(J5:J24,"Critico")</f>
        <v>13</v>
      </c>
    </row>
    <row r="30" spans="1:10" x14ac:dyDescent="0.3">
      <c r="B30" s="28" t="s">
        <v>37</v>
      </c>
      <c r="C30" s="25">
        <f>COUNTIF(D5:D24,"Must")</f>
        <v>17</v>
      </c>
    </row>
    <row r="31" spans="1:10" x14ac:dyDescent="0.3">
      <c r="B31" s="28" t="s">
        <v>214</v>
      </c>
      <c r="C31" s="25">
        <f>ROUND(AVERAGE(I5:I24),2)</f>
        <v>2.27</v>
      </c>
    </row>
    <row r="32" spans="1:10" x14ac:dyDescent="0.3">
      <c r="B32" s="28" t="s">
        <v>215</v>
      </c>
      <c r="C32" s="25">
        <f>ROUND(MAX(I5:I24),2)</f>
        <v>3</v>
      </c>
    </row>
    <row r="34" spans="2:3" x14ac:dyDescent="0.3">
      <c r="B34" s="22" t="s">
        <v>216</v>
      </c>
    </row>
    <row r="35" spans="2:3" x14ac:dyDescent="0.3">
      <c r="B35" s="29">
        <v>0</v>
      </c>
      <c r="C35" s="30" t="s">
        <v>217</v>
      </c>
    </row>
    <row r="36" spans="2:3" x14ac:dyDescent="0.3">
      <c r="B36" s="29">
        <v>1</v>
      </c>
      <c r="C36" s="30" t="s">
        <v>218</v>
      </c>
    </row>
    <row r="37" spans="2:3" x14ac:dyDescent="0.3">
      <c r="B37" s="29">
        <v>2</v>
      </c>
      <c r="C37" s="30" t="s">
        <v>219</v>
      </c>
    </row>
    <row r="38" spans="2:3" x14ac:dyDescent="0.3">
      <c r="B38" s="29">
        <v>3</v>
      </c>
      <c r="C38" s="30" t="s">
        <v>220</v>
      </c>
    </row>
  </sheetData>
  <autoFilter ref="A4:J2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showGridLines="0" workbookViewId="0">
      <pane ySplit="4" topLeftCell="A5" activePane="bottomLeft" state="frozen"/>
      <selection pane="bottomLeft"/>
    </sheetView>
  </sheetViews>
  <sheetFormatPr baseColWidth="10" defaultColWidth="8.88671875" defaultRowHeight="14.4" x14ac:dyDescent="0.3"/>
  <cols>
    <col min="1" max="1" width="10" customWidth="1"/>
    <col min="2" max="2" width="56" customWidth="1"/>
    <col min="3" max="3" width="9" customWidth="1"/>
    <col min="4" max="4" width="38" customWidth="1"/>
    <col min="5" max="5" width="62" customWidth="1"/>
    <col min="6" max="6" width="70" customWidth="1"/>
  </cols>
  <sheetData>
    <row r="1" spans="1:6" ht="17.399999999999999" x14ac:dyDescent="0.3">
      <c r="A1" s="1" t="s">
        <v>221</v>
      </c>
    </row>
    <row r="2" spans="1:6" x14ac:dyDescent="0.3">
      <c r="A2" s="2" t="s">
        <v>222</v>
      </c>
    </row>
    <row r="4" spans="1:6" ht="30" customHeight="1" x14ac:dyDescent="0.3">
      <c r="A4" s="18" t="s">
        <v>20</v>
      </c>
      <c r="B4" s="18" t="s">
        <v>189</v>
      </c>
      <c r="C4" s="18" t="s">
        <v>223</v>
      </c>
      <c r="D4" s="18" t="s">
        <v>224</v>
      </c>
      <c r="E4" s="18" t="s">
        <v>225</v>
      </c>
      <c r="F4" s="18" t="s">
        <v>226</v>
      </c>
    </row>
    <row r="5" spans="1:6" ht="73.95" customHeight="1" x14ac:dyDescent="0.3">
      <c r="A5" s="25" t="s">
        <v>30</v>
      </c>
      <c r="B5" s="4" t="s">
        <v>227</v>
      </c>
      <c r="C5" s="31">
        <f>Criticidad!I5</f>
        <v>2.6</v>
      </c>
      <c r="D5" s="4" t="s">
        <v>228</v>
      </c>
      <c r="E5" s="4" t="s">
        <v>229</v>
      </c>
      <c r="F5" s="11" t="s">
        <v>230</v>
      </c>
    </row>
    <row r="6" spans="1:6" ht="73.95" customHeight="1" x14ac:dyDescent="0.3">
      <c r="A6" s="25" t="s">
        <v>39</v>
      </c>
      <c r="B6" s="4" t="s">
        <v>40</v>
      </c>
      <c r="C6" s="31">
        <f>Criticidad!I6</f>
        <v>2.65</v>
      </c>
      <c r="D6" s="4" t="s">
        <v>228</v>
      </c>
      <c r="E6" s="4" t="s">
        <v>231</v>
      </c>
      <c r="F6" s="11" t="s">
        <v>232</v>
      </c>
    </row>
    <row r="7" spans="1:6" ht="73.95" customHeight="1" x14ac:dyDescent="0.3">
      <c r="A7" s="25" t="s">
        <v>44</v>
      </c>
      <c r="B7" s="4" t="s">
        <v>233</v>
      </c>
      <c r="C7" s="31">
        <f>Criticidad!I7</f>
        <v>3</v>
      </c>
      <c r="D7" s="4" t="s">
        <v>234</v>
      </c>
      <c r="E7" s="4" t="s">
        <v>235</v>
      </c>
      <c r="F7" s="11" t="s">
        <v>236</v>
      </c>
    </row>
    <row r="8" spans="1:6" ht="73.95" customHeight="1" x14ac:dyDescent="0.3">
      <c r="A8" s="25" t="s">
        <v>51</v>
      </c>
      <c r="B8" s="4" t="s">
        <v>237</v>
      </c>
      <c r="C8" s="31">
        <f>Criticidad!I8</f>
        <v>1.95</v>
      </c>
      <c r="D8" s="4" t="s">
        <v>238</v>
      </c>
      <c r="E8" s="4" t="s">
        <v>239</v>
      </c>
      <c r="F8" s="11" t="s">
        <v>240</v>
      </c>
    </row>
    <row r="9" spans="1:6" ht="73.95" customHeight="1" x14ac:dyDescent="0.3">
      <c r="A9" s="25" t="s">
        <v>59</v>
      </c>
      <c r="B9" s="4" t="s">
        <v>241</v>
      </c>
      <c r="C9" s="31">
        <f>Criticidad!I9</f>
        <v>2.75</v>
      </c>
      <c r="D9" s="4" t="s">
        <v>242</v>
      </c>
      <c r="E9" s="4" t="s">
        <v>243</v>
      </c>
      <c r="F9" s="11" t="s">
        <v>244</v>
      </c>
    </row>
    <row r="10" spans="1:6" ht="73.95" customHeight="1" x14ac:dyDescent="0.3">
      <c r="A10" s="25" t="s">
        <v>64</v>
      </c>
      <c r="B10" s="4" t="s">
        <v>65</v>
      </c>
      <c r="C10" s="31">
        <f>Criticidad!I10</f>
        <v>2.35</v>
      </c>
      <c r="D10" s="4" t="s">
        <v>238</v>
      </c>
      <c r="E10" s="4" t="s">
        <v>245</v>
      </c>
      <c r="F10" s="11" t="s">
        <v>246</v>
      </c>
    </row>
    <row r="11" spans="1:6" ht="73.95" customHeight="1" x14ac:dyDescent="0.3">
      <c r="A11" s="25" t="s">
        <v>69</v>
      </c>
      <c r="B11" s="4" t="s">
        <v>247</v>
      </c>
      <c r="C11" s="31">
        <f>Criticidad!I11</f>
        <v>2.65</v>
      </c>
      <c r="D11" s="4" t="s">
        <v>248</v>
      </c>
      <c r="E11" s="4" t="s">
        <v>249</v>
      </c>
      <c r="F11" s="11" t="s">
        <v>250</v>
      </c>
    </row>
    <row r="12" spans="1:6" ht="73.95" customHeight="1" x14ac:dyDescent="0.3">
      <c r="A12" s="25" t="s">
        <v>74</v>
      </c>
      <c r="B12" s="4" t="s">
        <v>251</v>
      </c>
      <c r="C12" s="31">
        <f>Criticidad!I12</f>
        <v>2.6000000000000005</v>
      </c>
      <c r="D12" s="4" t="s">
        <v>252</v>
      </c>
      <c r="E12" s="4" t="s">
        <v>253</v>
      </c>
      <c r="F12" s="11" t="s">
        <v>254</v>
      </c>
    </row>
    <row r="13" spans="1:6" ht="73.95" customHeight="1" x14ac:dyDescent="0.3">
      <c r="A13" s="25" t="s">
        <v>78</v>
      </c>
      <c r="B13" s="4" t="s">
        <v>255</v>
      </c>
      <c r="C13" s="31">
        <f>Criticidad!I13</f>
        <v>2.4500000000000002</v>
      </c>
      <c r="D13" s="4" t="s">
        <v>256</v>
      </c>
      <c r="E13" s="4" t="s">
        <v>257</v>
      </c>
      <c r="F13" s="11" t="s">
        <v>258</v>
      </c>
    </row>
    <row r="14" spans="1:6" ht="73.95" customHeight="1" x14ac:dyDescent="0.3">
      <c r="A14" s="25" t="s">
        <v>83</v>
      </c>
      <c r="B14" s="4" t="s">
        <v>259</v>
      </c>
      <c r="C14" s="31">
        <f>Criticidad!I14</f>
        <v>2.0499999999999998</v>
      </c>
      <c r="D14" s="4" t="s">
        <v>238</v>
      </c>
      <c r="E14" s="4" t="s">
        <v>260</v>
      </c>
      <c r="F14" s="11" t="s">
        <v>261</v>
      </c>
    </row>
    <row r="15" spans="1:6" ht="73.95" customHeight="1" x14ac:dyDescent="0.3">
      <c r="A15" s="25" t="s">
        <v>88</v>
      </c>
      <c r="B15" s="4" t="s">
        <v>262</v>
      </c>
      <c r="C15" s="31">
        <f>Criticidad!I15</f>
        <v>2.25</v>
      </c>
      <c r="D15" s="4" t="s">
        <v>263</v>
      </c>
      <c r="E15" s="4" t="s">
        <v>264</v>
      </c>
      <c r="F15" s="11" t="s">
        <v>265</v>
      </c>
    </row>
    <row r="16" spans="1:6" ht="73.95" customHeight="1" x14ac:dyDescent="0.3">
      <c r="A16" s="25" t="s">
        <v>92</v>
      </c>
      <c r="B16" s="4" t="s">
        <v>266</v>
      </c>
      <c r="C16" s="31">
        <f>Criticidad!I16</f>
        <v>2.4500000000000002</v>
      </c>
      <c r="D16" s="4" t="s">
        <v>267</v>
      </c>
      <c r="E16" s="4" t="s">
        <v>268</v>
      </c>
      <c r="F16" s="11" t="s">
        <v>269</v>
      </c>
    </row>
    <row r="17" spans="1:6" ht="73.95" customHeight="1" x14ac:dyDescent="0.3">
      <c r="A17" s="25" t="s">
        <v>97</v>
      </c>
      <c r="B17" s="4" t="s">
        <v>270</v>
      </c>
      <c r="C17" s="31">
        <f>Criticidad!I17</f>
        <v>2.4</v>
      </c>
      <c r="D17" s="4" t="s">
        <v>271</v>
      </c>
      <c r="E17" s="4" t="s">
        <v>272</v>
      </c>
      <c r="F17" s="11" t="s">
        <v>273</v>
      </c>
    </row>
    <row r="18" spans="1:6" ht="73.95" customHeight="1" x14ac:dyDescent="0.3">
      <c r="A18" s="25" t="s">
        <v>103</v>
      </c>
      <c r="B18" s="4" t="s">
        <v>105</v>
      </c>
      <c r="C18" s="31">
        <f>Criticidad!I18</f>
        <v>1.9</v>
      </c>
      <c r="D18" s="4" t="s">
        <v>274</v>
      </c>
      <c r="E18" s="4" t="s">
        <v>275</v>
      </c>
      <c r="F18" s="11" t="s">
        <v>276</v>
      </c>
    </row>
    <row r="19" spans="1:6" ht="73.95" customHeight="1" x14ac:dyDescent="0.3">
      <c r="A19" s="25" t="s">
        <v>108</v>
      </c>
      <c r="B19" s="4" t="s">
        <v>277</v>
      </c>
      <c r="C19" s="31">
        <f>Criticidad!I19</f>
        <v>2.1500000000000004</v>
      </c>
      <c r="D19" s="4" t="s">
        <v>278</v>
      </c>
      <c r="E19" s="4" t="s">
        <v>279</v>
      </c>
      <c r="F19" s="11" t="s">
        <v>280</v>
      </c>
    </row>
    <row r="20" spans="1:6" ht="73.95" customHeight="1" x14ac:dyDescent="0.3">
      <c r="A20" s="25" t="s">
        <v>113</v>
      </c>
      <c r="B20" s="4" t="s">
        <v>114</v>
      </c>
      <c r="C20" s="31">
        <f>Criticidad!I20</f>
        <v>2.1</v>
      </c>
      <c r="D20" s="4" t="s">
        <v>281</v>
      </c>
      <c r="E20" s="4" t="s">
        <v>282</v>
      </c>
      <c r="F20" s="11" t="s">
        <v>283</v>
      </c>
    </row>
    <row r="21" spans="1:6" ht="73.95" customHeight="1" x14ac:dyDescent="0.3">
      <c r="A21" s="25" t="s">
        <v>118</v>
      </c>
      <c r="B21" s="4" t="s">
        <v>284</v>
      </c>
      <c r="C21" s="31">
        <f>Criticidad!I21</f>
        <v>1.8</v>
      </c>
      <c r="D21" s="4" t="s">
        <v>285</v>
      </c>
      <c r="E21" s="4" t="s">
        <v>286</v>
      </c>
      <c r="F21" s="11" t="s">
        <v>287</v>
      </c>
    </row>
    <row r="22" spans="1:6" ht="73.95" customHeight="1" x14ac:dyDescent="0.3">
      <c r="A22" s="25" t="s">
        <v>123</v>
      </c>
      <c r="B22" s="4" t="s">
        <v>288</v>
      </c>
      <c r="C22" s="31">
        <f>Criticidad!I22</f>
        <v>2</v>
      </c>
      <c r="D22" s="4" t="s">
        <v>289</v>
      </c>
      <c r="E22" s="4" t="s">
        <v>290</v>
      </c>
      <c r="F22" s="11" t="s">
        <v>291</v>
      </c>
    </row>
    <row r="23" spans="1:6" ht="73.95" customHeight="1" x14ac:dyDescent="0.3">
      <c r="A23" s="25" t="s">
        <v>127</v>
      </c>
      <c r="B23" s="4" t="s">
        <v>128</v>
      </c>
      <c r="C23" s="31">
        <f>Criticidad!I23</f>
        <v>1.4000000000000001</v>
      </c>
      <c r="D23" s="4" t="s">
        <v>292</v>
      </c>
      <c r="E23" s="4" t="s">
        <v>293</v>
      </c>
      <c r="F23" s="11" t="s">
        <v>294</v>
      </c>
    </row>
    <row r="24" spans="1:6" ht="73.95" customHeight="1" x14ac:dyDescent="0.3">
      <c r="A24" s="25" t="s">
        <v>131</v>
      </c>
      <c r="B24" s="4" t="s">
        <v>295</v>
      </c>
      <c r="C24" s="31">
        <f>Criticidad!I24</f>
        <v>1.95</v>
      </c>
      <c r="D24" s="4" t="s">
        <v>296</v>
      </c>
      <c r="E24" s="4" t="s">
        <v>297</v>
      </c>
      <c r="F24" s="11" t="s">
        <v>298</v>
      </c>
    </row>
    <row r="27" spans="1:6" ht="17.399999999999999" x14ac:dyDescent="0.3">
      <c r="B27" s="1" t="s">
        <v>299</v>
      </c>
    </row>
    <row r="28" spans="1:6" ht="24" x14ac:dyDescent="0.3">
      <c r="B28" s="5" t="s">
        <v>300</v>
      </c>
      <c r="C28" s="5" t="s">
        <v>301</v>
      </c>
      <c r="D28" s="5" t="s">
        <v>302</v>
      </c>
      <c r="E28" s="5" t="s">
        <v>303</v>
      </c>
    </row>
    <row r="29" spans="1:6" ht="34.049999999999997" customHeight="1" x14ac:dyDescent="0.3">
      <c r="B29" s="4" t="s">
        <v>304</v>
      </c>
      <c r="C29" s="26" t="s">
        <v>305</v>
      </c>
      <c r="D29" s="25">
        <f t="shared" ref="D29:D42" si="0">COUNTIF($D$5:$D$25,"*"&amp;B29&amp;";*")+COUNTIF($D$5:$D$25,"*"&amp;B29)</f>
        <v>19</v>
      </c>
      <c r="E29" s="4" t="s">
        <v>306</v>
      </c>
    </row>
    <row r="30" spans="1:6" ht="34.049999999999997" customHeight="1" x14ac:dyDescent="0.3">
      <c r="B30" s="4" t="s">
        <v>307</v>
      </c>
      <c r="C30" s="26" t="s">
        <v>308</v>
      </c>
      <c r="D30" s="25">
        <f t="shared" si="0"/>
        <v>7</v>
      </c>
      <c r="E30" s="4" t="s">
        <v>309</v>
      </c>
    </row>
    <row r="31" spans="1:6" ht="34.049999999999997" customHeight="1" x14ac:dyDescent="0.3">
      <c r="B31" s="4" t="s">
        <v>310</v>
      </c>
      <c r="C31" s="26" t="s">
        <v>311</v>
      </c>
      <c r="D31" s="25">
        <f t="shared" si="0"/>
        <v>5</v>
      </c>
      <c r="E31" s="4" t="s">
        <v>312</v>
      </c>
    </row>
    <row r="32" spans="1:6" ht="34.049999999999997" customHeight="1" x14ac:dyDescent="0.3">
      <c r="B32" s="4" t="s">
        <v>313</v>
      </c>
      <c r="C32" s="26" t="s">
        <v>311</v>
      </c>
      <c r="D32" s="25">
        <f t="shared" si="0"/>
        <v>1</v>
      </c>
      <c r="E32" s="4" t="s">
        <v>314</v>
      </c>
    </row>
    <row r="33" spans="2:5" ht="34.049999999999997" customHeight="1" x14ac:dyDescent="0.3">
      <c r="B33" s="4" t="s">
        <v>315</v>
      </c>
      <c r="C33" s="26" t="s">
        <v>316</v>
      </c>
      <c r="D33" s="25">
        <f t="shared" si="0"/>
        <v>3</v>
      </c>
      <c r="E33" s="4" t="s">
        <v>317</v>
      </c>
    </row>
    <row r="34" spans="2:5" ht="34.049999999999997" customHeight="1" x14ac:dyDescent="0.3">
      <c r="B34" s="4" t="s">
        <v>318</v>
      </c>
      <c r="C34" s="26" t="s">
        <v>319</v>
      </c>
      <c r="D34" s="25">
        <f t="shared" si="0"/>
        <v>6</v>
      </c>
      <c r="E34" s="4" t="s">
        <v>320</v>
      </c>
    </row>
    <row r="35" spans="2:5" ht="34.049999999999997" customHeight="1" x14ac:dyDescent="0.3">
      <c r="B35" s="4" t="s">
        <v>321</v>
      </c>
      <c r="C35" s="26" t="s">
        <v>322</v>
      </c>
      <c r="D35" s="25">
        <f t="shared" si="0"/>
        <v>2</v>
      </c>
      <c r="E35" s="4" t="s">
        <v>323</v>
      </c>
    </row>
    <row r="36" spans="2:5" ht="34.049999999999997" customHeight="1" x14ac:dyDescent="0.3">
      <c r="B36" s="4" t="s">
        <v>324</v>
      </c>
      <c r="C36" s="26" t="s">
        <v>325</v>
      </c>
      <c r="D36" s="25">
        <f t="shared" si="0"/>
        <v>2</v>
      </c>
      <c r="E36" s="4" t="s">
        <v>326</v>
      </c>
    </row>
    <row r="37" spans="2:5" ht="34.049999999999997" customHeight="1" x14ac:dyDescent="0.3">
      <c r="B37" s="4" t="s">
        <v>327</v>
      </c>
      <c r="C37" s="26" t="s">
        <v>328</v>
      </c>
      <c r="D37" s="25">
        <f t="shared" si="0"/>
        <v>9</v>
      </c>
      <c r="E37" s="4" t="s">
        <v>329</v>
      </c>
    </row>
    <row r="38" spans="2:5" ht="34.049999999999997" customHeight="1" x14ac:dyDescent="0.3">
      <c r="B38" s="4" t="s">
        <v>330</v>
      </c>
      <c r="C38" s="26" t="s">
        <v>331</v>
      </c>
      <c r="D38" s="25">
        <f t="shared" si="0"/>
        <v>2</v>
      </c>
      <c r="E38" s="4" t="s">
        <v>332</v>
      </c>
    </row>
    <row r="39" spans="2:5" ht="34.049999999999997" customHeight="1" x14ac:dyDescent="0.3">
      <c r="B39" s="15" t="s">
        <v>333</v>
      </c>
      <c r="C39" s="16" t="s">
        <v>334</v>
      </c>
      <c r="D39" s="14">
        <f t="shared" si="0"/>
        <v>1</v>
      </c>
      <c r="E39" s="15" t="s">
        <v>335</v>
      </c>
    </row>
    <row r="40" spans="2:5" ht="34.049999999999997" customHeight="1" x14ac:dyDescent="0.3">
      <c r="B40" s="4" t="s">
        <v>336</v>
      </c>
      <c r="C40" s="26" t="s">
        <v>337</v>
      </c>
      <c r="D40" s="25">
        <f t="shared" si="0"/>
        <v>1</v>
      </c>
      <c r="E40" s="4" t="s">
        <v>323</v>
      </c>
    </row>
    <row r="41" spans="2:5" ht="34.049999999999997" customHeight="1" x14ac:dyDescent="0.3">
      <c r="B41" s="4" t="s">
        <v>338</v>
      </c>
      <c r="C41" s="26" t="s">
        <v>339</v>
      </c>
      <c r="D41" s="25">
        <f t="shared" si="0"/>
        <v>0</v>
      </c>
      <c r="E41" s="4" t="s">
        <v>340</v>
      </c>
    </row>
    <row r="42" spans="2:5" ht="34.049999999999997" customHeight="1" x14ac:dyDescent="0.3">
      <c r="B42" s="4" t="s">
        <v>341</v>
      </c>
      <c r="C42" s="26" t="s">
        <v>342</v>
      </c>
      <c r="D42" s="25">
        <f t="shared" si="0"/>
        <v>0</v>
      </c>
      <c r="E42" s="4" t="s">
        <v>343</v>
      </c>
    </row>
  </sheetData>
  <autoFilter ref="A4:F2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
  <sheetViews>
    <sheetView showGridLines="0" workbookViewId="0">
      <pane ySplit="4" topLeftCell="A5" activePane="bottomLeft" state="frozen"/>
      <selection pane="bottomLeft"/>
    </sheetView>
  </sheetViews>
  <sheetFormatPr baseColWidth="10" defaultColWidth="8.88671875" defaultRowHeight="14.4" x14ac:dyDescent="0.3"/>
  <cols>
    <col min="1" max="1" width="10" customWidth="1"/>
    <col min="2" max="2" width="14" customWidth="1"/>
    <col min="3" max="3" width="22" customWidth="1"/>
    <col min="4" max="4" width="26" customWidth="1"/>
    <col min="5" max="5" width="34" customWidth="1"/>
    <col min="6" max="6" width="24" customWidth="1"/>
    <col min="7" max="7" width="26" customWidth="1"/>
    <col min="8" max="8" width="40" customWidth="1"/>
    <col min="9" max="9" width="34" customWidth="1"/>
    <col min="10" max="10" width="16" customWidth="1"/>
  </cols>
  <sheetData>
    <row r="1" spans="1:10" ht="17.399999999999999" x14ac:dyDescent="0.3">
      <c r="A1" s="1" t="s">
        <v>344</v>
      </c>
    </row>
    <row r="2" spans="1:10" x14ac:dyDescent="0.3">
      <c r="A2" s="2" t="s">
        <v>345</v>
      </c>
    </row>
    <row r="4" spans="1:10" ht="30" customHeight="1" x14ac:dyDescent="0.3">
      <c r="A4" s="18" t="s">
        <v>346</v>
      </c>
      <c r="B4" s="18" t="s">
        <v>347</v>
      </c>
      <c r="C4" s="18" t="s">
        <v>300</v>
      </c>
      <c r="D4" s="18" t="s">
        <v>348</v>
      </c>
      <c r="E4" s="18" t="s">
        <v>349</v>
      </c>
      <c r="F4" s="18" t="s">
        <v>350</v>
      </c>
      <c r="G4" s="18" t="s">
        <v>351</v>
      </c>
      <c r="H4" s="18" t="s">
        <v>352</v>
      </c>
      <c r="I4" s="18" t="s">
        <v>353</v>
      </c>
      <c r="J4" s="18" t="s">
        <v>29</v>
      </c>
    </row>
    <row r="5" spans="1:10" ht="60" customHeight="1" x14ac:dyDescent="0.3">
      <c r="A5" s="25" t="s">
        <v>354</v>
      </c>
      <c r="B5" s="26" t="s">
        <v>30</v>
      </c>
      <c r="C5" s="4" t="s">
        <v>310</v>
      </c>
      <c r="D5" s="4" t="s">
        <v>33</v>
      </c>
      <c r="E5" s="4" t="s">
        <v>355</v>
      </c>
      <c r="F5" s="4" t="s">
        <v>356</v>
      </c>
      <c r="G5" s="4" t="s">
        <v>357</v>
      </c>
      <c r="H5" s="4" t="s">
        <v>358</v>
      </c>
      <c r="I5" s="11" t="s">
        <v>359</v>
      </c>
      <c r="J5" s="26" t="s">
        <v>360</v>
      </c>
    </row>
    <row r="6" spans="1:10" ht="60" customHeight="1" x14ac:dyDescent="0.3">
      <c r="A6" s="25" t="s">
        <v>361</v>
      </c>
      <c r="B6" s="26" t="s">
        <v>44</v>
      </c>
      <c r="C6" s="4" t="s">
        <v>304</v>
      </c>
      <c r="D6" s="4" t="s">
        <v>362</v>
      </c>
      <c r="E6" s="4" t="s">
        <v>363</v>
      </c>
      <c r="F6" s="4" t="s">
        <v>364</v>
      </c>
      <c r="G6" s="4" t="s">
        <v>365</v>
      </c>
      <c r="H6" s="4" t="s">
        <v>366</v>
      </c>
      <c r="I6" s="11" t="s">
        <v>367</v>
      </c>
      <c r="J6" s="26" t="s">
        <v>360</v>
      </c>
    </row>
    <row r="7" spans="1:10" ht="60" customHeight="1" x14ac:dyDescent="0.3">
      <c r="A7" s="25" t="s">
        <v>368</v>
      </c>
      <c r="B7" s="26" t="s">
        <v>59</v>
      </c>
      <c r="C7" s="4" t="s">
        <v>304</v>
      </c>
      <c r="D7" s="4" t="s">
        <v>33</v>
      </c>
      <c r="E7" s="4" t="s">
        <v>369</v>
      </c>
      <c r="F7" s="4" t="s">
        <v>370</v>
      </c>
      <c r="G7" s="4" t="s">
        <v>371</v>
      </c>
      <c r="H7" s="4" t="s">
        <v>372</v>
      </c>
      <c r="I7" s="11" t="s">
        <v>373</v>
      </c>
      <c r="J7" s="26" t="s">
        <v>360</v>
      </c>
    </row>
    <row r="8" spans="1:10" ht="60" customHeight="1" x14ac:dyDescent="0.3">
      <c r="A8" s="25" t="s">
        <v>374</v>
      </c>
      <c r="B8" s="26" t="s">
        <v>88</v>
      </c>
      <c r="C8" s="4" t="s">
        <v>318</v>
      </c>
      <c r="D8" s="4" t="s">
        <v>375</v>
      </c>
      <c r="E8" s="4" t="s">
        <v>376</v>
      </c>
      <c r="F8" s="4" t="s">
        <v>70</v>
      </c>
      <c r="G8" s="4" t="s">
        <v>377</v>
      </c>
      <c r="H8" s="4" t="s">
        <v>378</v>
      </c>
      <c r="I8" s="11" t="s">
        <v>379</v>
      </c>
      <c r="J8" s="26" t="s">
        <v>360</v>
      </c>
    </row>
    <row r="9" spans="1:10" ht="60" customHeight="1" x14ac:dyDescent="0.3">
      <c r="A9" s="25" t="s">
        <v>380</v>
      </c>
      <c r="B9" s="26" t="s">
        <v>78</v>
      </c>
      <c r="C9" s="4" t="s">
        <v>310</v>
      </c>
      <c r="D9" s="4" t="s">
        <v>381</v>
      </c>
      <c r="E9" s="4" t="s">
        <v>382</v>
      </c>
      <c r="F9" s="4" t="s">
        <v>70</v>
      </c>
      <c r="G9" s="4" t="s">
        <v>383</v>
      </c>
      <c r="H9" s="4" t="s">
        <v>384</v>
      </c>
      <c r="I9" s="11" t="s">
        <v>385</v>
      </c>
      <c r="J9" s="26" t="s">
        <v>360</v>
      </c>
    </row>
    <row r="10" spans="1:10" ht="60" customHeight="1" x14ac:dyDescent="0.3">
      <c r="A10" s="25" t="s">
        <v>386</v>
      </c>
      <c r="B10" s="26" t="s">
        <v>108</v>
      </c>
      <c r="C10" s="4" t="s">
        <v>315</v>
      </c>
      <c r="D10" s="4" t="s">
        <v>33</v>
      </c>
      <c r="E10" s="4" t="s">
        <v>387</v>
      </c>
      <c r="F10" s="4" t="s">
        <v>388</v>
      </c>
      <c r="G10" s="4" t="s">
        <v>389</v>
      </c>
      <c r="H10" s="4" t="s">
        <v>390</v>
      </c>
      <c r="I10" s="4" t="s">
        <v>391</v>
      </c>
      <c r="J10" s="26" t="s">
        <v>392</v>
      </c>
    </row>
    <row r="11" spans="1:10" ht="60" customHeight="1" x14ac:dyDescent="0.3">
      <c r="A11" s="25" t="s">
        <v>393</v>
      </c>
      <c r="B11" s="26" t="s">
        <v>131</v>
      </c>
      <c r="C11" s="4" t="s">
        <v>333</v>
      </c>
      <c r="D11" s="4" t="s">
        <v>394</v>
      </c>
      <c r="E11" s="4" t="s">
        <v>395</v>
      </c>
      <c r="F11" s="4" t="s">
        <v>396</v>
      </c>
      <c r="G11" s="4" t="s">
        <v>397</v>
      </c>
      <c r="H11" s="4" t="s">
        <v>398</v>
      </c>
      <c r="I11" s="11" t="s">
        <v>399</v>
      </c>
      <c r="J11" s="26" t="s">
        <v>360</v>
      </c>
    </row>
    <row r="12" spans="1:10" ht="60" customHeight="1" x14ac:dyDescent="0.3">
      <c r="A12" s="25" t="s">
        <v>400</v>
      </c>
      <c r="B12" s="26" t="s">
        <v>92</v>
      </c>
      <c r="C12" s="4" t="s">
        <v>304</v>
      </c>
      <c r="D12" s="4" t="s">
        <v>381</v>
      </c>
      <c r="E12" s="4" t="s">
        <v>401</v>
      </c>
      <c r="F12" s="4" t="s">
        <v>402</v>
      </c>
      <c r="G12" s="4" t="s">
        <v>403</v>
      </c>
      <c r="H12" s="4" t="s">
        <v>404</v>
      </c>
      <c r="I12" s="32" t="s">
        <v>405</v>
      </c>
      <c r="J12" s="26" t="s">
        <v>406</v>
      </c>
    </row>
    <row r="13" spans="1:10" ht="60" customHeight="1" x14ac:dyDescent="0.3">
      <c r="A13" s="25"/>
      <c r="B13" s="26"/>
      <c r="C13" s="4"/>
      <c r="D13" s="4"/>
      <c r="E13" s="4"/>
      <c r="F13" s="4"/>
      <c r="G13" s="4"/>
      <c r="H13" s="4"/>
      <c r="I13" s="4"/>
      <c r="J13" s="26"/>
    </row>
    <row r="14" spans="1:10" ht="60" customHeight="1" x14ac:dyDescent="0.3">
      <c r="A14" s="25"/>
      <c r="B14" s="26"/>
      <c r="C14" s="4"/>
      <c r="D14" s="4"/>
      <c r="E14" s="4"/>
      <c r="F14" s="4"/>
      <c r="G14" s="4"/>
      <c r="H14" s="4"/>
      <c r="I14" s="4"/>
      <c r="J14" s="26"/>
    </row>
    <row r="15" spans="1:10" ht="60" customHeight="1" x14ac:dyDescent="0.3">
      <c r="A15" s="25"/>
      <c r="B15" s="26"/>
      <c r="C15" s="4"/>
      <c r="D15" s="4"/>
      <c r="E15" s="4"/>
      <c r="F15" s="4"/>
      <c r="G15" s="4"/>
      <c r="H15" s="4"/>
      <c r="I15" s="4"/>
      <c r="J15" s="2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showGridLines="0" workbookViewId="0">
      <pane ySplit="4" topLeftCell="A5" activePane="bottomLeft" state="frozen"/>
      <selection pane="bottomLeft"/>
    </sheetView>
  </sheetViews>
  <sheetFormatPr baseColWidth="10" defaultColWidth="8.88671875" defaultRowHeight="14.4" x14ac:dyDescent="0.3"/>
  <cols>
    <col min="1" max="1" width="10" customWidth="1"/>
    <col min="2" max="2" width="62" customWidth="1"/>
    <col min="3" max="3" width="22" customWidth="1"/>
    <col min="4" max="4" width="76" customWidth="1"/>
    <col min="5" max="5" width="26" customWidth="1"/>
    <col min="6" max="6" width="14" customWidth="1"/>
  </cols>
  <sheetData>
    <row r="1" spans="1:6" ht="17.399999999999999" x14ac:dyDescent="0.3">
      <c r="A1" s="1" t="s">
        <v>407</v>
      </c>
    </row>
    <row r="2" spans="1:6" x14ac:dyDescent="0.3">
      <c r="A2" s="2" t="s">
        <v>408</v>
      </c>
    </row>
    <row r="4" spans="1:6" ht="30" customHeight="1" x14ac:dyDescent="0.3">
      <c r="A4" s="18" t="s">
        <v>20</v>
      </c>
      <c r="B4" s="18" t="s">
        <v>409</v>
      </c>
      <c r="C4" s="18" t="s">
        <v>410</v>
      </c>
      <c r="D4" s="18" t="s">
        <v>411</v>
      </c>
      <c r="E4" s="18" t="s">
        <v>412</v>
      </c>
      <c r="F4" s="18" t="s">
        <v>29</v>
      </c>
    </row>
    <row r="5" spans="1:6" ht="61.95" customHeight="1" x14ac:dyDescent="0.3">
      <c r="A5" s="33" t="s">
        <v>413</v>
      </c>
      <c r="B5" s="32" t="s">
        <v>414</v>
      </c>
      <c r="C5" s="32" t="s">
        <v>92</v>
      </c>
      <c r="D5" s="32" t="s">
        <v>415</v>
      </c>
      <c r="E5" s="32" t="s">
        <v>416</v>
      </c>
      <c r="F5" s="34" t="s">
        <v>417</v>
      </c>
    </row>
    <row r="6" spans="1:6" ht="61.95" customHeight="1" x14ac:dyDescent="0.3">
      <c r="A6" s="33" t="s">
        <v>418</v>
      </c>
      <c r="B6" s="32" t="s">
        <v>419</v>
      </c>
      <c r="C6" s="32" t="s">
        <v>420</v>
      </c>
      <c r="D6" s="32" t="s">
        <v>421</v>
      </c>
      <c r="E6" s="32" t="s">
        <v>422</v>
      </c>
      <c r="F6" s="34" t="s">
        <v>417</v>
      </c>
    </row>
    <row r="7" spans="1:6" ht="61.95" customHeight="1" x14ac:dyDescent="0.3">
      <c r="A7" s="10" t="s">
        <v>423</v>
      </c>
      <c r="B7" s="11" t="s">
        <v>424</v>
      </c>
      <c r="C7" s="11" t="s">
        <v>425</v>
      </c>
      <c r="D7" s="11" t="s">
        <v>426</v>
      </c>
      <c r="E7" s="11" t="s">
        <v>416</v>
      </c>
      <c r="F7" s="12" t="s">
        <v>417</v>
      </c>
    </row>
    <row r="8" spans="1:6" ht="61.95" customHeight="1" x14ac:dyDescent="0.3">
      <c r="A8" s="10" t="s">
        <v>427</v>
      </c>
      <c r="B8" s="11" t="s">
        <v>428</v>
      </c>
      <c r="C8" s="11" t="s">
        <v>131</v>
      </c>
      <c r="D8" s="11" t="s">
        <v>429</v>
      </c>
      <c r="E8" s="11" t="s">
        <v>416</v>
      </c>
      <c r="F8" s="12" t="s">
        <v>417</v>
      </c>
    </row>
    <row r="9" spans="1:6" ht="61.95" customHeight="1" x14ac:dyDescent="0.3">
      <c r="A9" s="10" t="s">
        <v>430</v>
      </c>
      <c r="B9" s="11" t="s">
        <v>431</v>
      </c>
      <c r="C9" s="11" t="s">
        <v>432</v>
      </c>
      <c r="D9" s="11" t="s">
        <v>433</v>
      </c>
      <c r="E9" s="11" t="s">
        <v>416</v>
      </c>
      <c r="F9" s="12" t="s">
        <v>417</v>
      </c>
    </row>
    <row r="10" spans="1:6" ht="61.95" customHeight="1" x14ac:dyDescent="0.3">
      <c r="A10" s="10" t="s">
        <v>434</v>
      </c>
      <c r="B10" s="11" t="s">
        <v>435</v>
      </c>
      <c r="C10" s="11" t="s">
        <v>436</v>
      </c>
      <c r="D10" s="11" t="s">
        <v>437</v>
      </c>
      <c r="E10" s="11" t="s">
        <v>438</v>
      </c>
      <c r="F10" s="12" t="s">
        <v>417</v>
      </c>
    </row>
    <row r="11" spans="1:6" ht="61.95" customHeight="1" x14ac:dyDescent="0.3">
      <c r="A11" s="10" t="s">
        <v>439</v>
      </c>
      <c r="B11" s="11" t="s">
        <v>440</v>
      </c>
      <c r="C11" s="11" t="s">
        <v>441</v>
      </c>
      <c r="D11" s="11" t="s">
        <v>442</v>
      </c>
      <c r="E11" s="11" t="s">
        <v>443</v>
      </c>
      <c r="F11" s="12" t="s">
        <v>417</v>
      </c>
    </row>
    <row r="12" spans="1:6" ht="61.95" customHeight="1" x14ac:dyDescent="0.3">
      <c r="A12" s="33" t="s">
        <v>444</v>
      </c>
      <c r="B12" s="32" t="s">
        <v>445</v>
      </c>
      <c r="C12" s="32" t="s">
        <v>446</v>
      </c>
      <c r="D12" s="32" t="s">
        <v>447</v>
      </c>
      <c r="E12" s="32" t="s">
        <v>416</v>
      </c>
      <c r="F12" s="34" t="s">
        <v>417</v>
      </c>
    </row>
    <row r="13" spans="1:6" ht="61.95" customHeight="1" x14ac:dyDescent="0.3">
      <c r="A13" s="10" t="s">
        <v>448</v>
      </c>
      <c r="B13" s="11" t="s">
        <v>449</v>
      </c>
      <c r="C13" s="11" t="s">
        <v>51</v>
      </c>
      <c r="D13" s="11" t="s">
        <v>450</v>
      </c>
      <c r="E13" s="11" t="s">
        <v>416</v>
      </c>
      <c r="F13" s="12" t="s">
        <v>451</v>
      </c>
    </row>
    <row r="14" spans="1:6" ht="61.95" customHeight="1" x14ac:dyDescent="0.3">
      <c r="A14" s="10" t="s">
        <v>452</v>
      </c>
      <c r="B14" s="11" t="s">
        <v>453</v>
      </c>
      <c r="C14" s="11" t="s">
        <v>113</v>
      </c>
      <c r="D14" s="11" t="s">
        <v>454</v>
      </c>
      <c r="E14" s="11" t="s">
        <v>455</v>
      </c>
      <c r="F14" s="12" t="s">
        <v>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Como leer</vt:lpstr>
      <vt:lpstr>RF Criticos</vt:lpstr>
      <vt:lpstr>Trazabilidad</vt:lpstr>
      <vt:lpstr>Criticidad</vt:lpstr>
      <vt:lpstr>Mapa de calidad</vt:lpstr>
      <vt:lpstr>Escenarios - esqueleto</vt:lpstr>
      <vt:lpstr>Brechas que bloquean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Pablo Avendano Duque</cp:lastModifiedBy>
  <dcterms:created xsi:type="dcterms:W3CDTF">2026-08-08T20:11:35Z</dcterms:created>
  <dcterms:modified xsi:type="dcterms:W3CDTF">2026-08-11T02:01:01Z</dcterms:modified>
</cp:coreProperties>
</file>